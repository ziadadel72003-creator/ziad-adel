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قرأني" sheetId="1" state="visible" r:id="rId3"/>
    <sheet name="أداء الكلمات" sheetId="2" state="visible" r:id="rId4"/>
    <sheet name="تحليل Keyword Planner" sheetId="3" state="visible" r:id="rId5"/>
    <sheet name="الهيكل المعدل v2" sheetId="4" state="visible" r:id="rId6"/>
    <sheet name="الكلمات v2" sheetId="5" state="visible" r:id="rId7"/>
    <sheet name="سلبيات إضافية v2" sheetId="6" state="visible" r:id="rId8"/>
    <sheet name="تعديلات النصوص v2" sheetId="7" state="visible" r:id="rId9"/>
    <sheet name="مجموعة المنافس" sheetId="8" state="visible" r:id="rId10"/>
    <sheet name="إعداد الخرائط" sheetId="9" state="visible" r:id="rId11"/>
    <sheet name="النبرة A" sheetId="10" state="visible" r:id="rId12"/>
    <sheet name="النبرة B" sheetId="11" state="visible" r:id="rId13"/>
    <sheet name="النبرة C" sheetId="12" state="visible" r:id="rId14"/>
    <sheet name="مقارنة النبرات" sheetId="13" state="visible" r:id="rId15"/>
    <sheet name="حقائق تحتاج تأكيداً" sheetId="14" state="visible" r:id="rId16"/>
    <sheet name="السلبيات" sheetId="15" state="visible" r:id="rId17"/>
    <sheet name="إعدادات الحملة" sheetId="16" state="visible" r:id="rId18"/>
    <sheet name="المجموعات والكلمات" sheetId="17" state="visible" r:id="rId19"/>
  </sheets>
  <definedNames>
    <definedName function="false" hidden="true" localSheetId="1" name="_xlnm._FilterDatabase" vbProcedure="false">'أداء الكلمات'!$A$4:$K$104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<sst xmlns="http://schemas.openxmlformats.org/spreadsheetml/2006/main" count="4879" uniqueCount="1107">
  <si>
    <t xml:space="preserve">ملف بناء حملة البحث – حضانة قرات الأعين</t>
  </si>
  <si>
    <t xml:space="preserve">الإصدار 3 النهائي (19 أكتوبر 2026): بيانات Keyword Planner + قرارات الإدارة (قسم رضع: نعم • فترة مسائية: لا • تسعير في الحملة: لا • المنافس: حضانة قرة). الأوراق الجديدة: «تحليل Keyword Planner»، «الهيكل المعدل v2»، «الكلمات v2»، «سلبيات إضافية v2»، «تعديلات النصوص v2»، «مجموعة المنافس».</t>
  </si>
  <si>
    <t xml:space="preserve">ملفات استيراد Google Ads Editor في مجلد 06_Editor_Import (النبرات الثلاث كإعلانات منفصلة في كل مجموعة). الأوراق الرمادية مرجع للإصدار الأول.</t>
  </si>
  <si>
    <t xml:space="preserve">الهدف: حملة Search تظهر في بحث Google وفي خرائط Google معاً، بديلاً تدريجياً لحملة Smart. مبنية على تقرير المراجعة بتاريخ 17 أكتوبر 2026.</t>
  </si>
  <si>
    <t xml:space="preserve">كيف تستخدم الملف:</t>
  </si>
  <si>
    <t xml:space="preserve">1) ورقة «إعدادات الحملة» و«إعداد الخرائط»: تُنفَّذ كما هي، وهي مشتركة بين النبرات الثلاث.</t>
  </si>
  <si>
    <t xml:space="preserve">2) ورقة «المجموعات والكلمات» و«السلبيات»: مشتركة أيضاً، تُرفع عبر Google Ads Editor أو يدوياً.</t>
  </si>
  <si>
    <t xml:space="preserve">3) أوراق «النبرة A» و«النبرة B» و«النبرة C»: ثلاث نسخ كاملة من نصوص الإعلانات والأصول. اختر واحدة، أو امزج (مثلاً A للمجموعات العامة وC للعلامة التجارية).</t>
  </si>
  <si>
    <t xml:space="preserve">4) ورقة «مقارنة النبرات»: نفس الموضع في الإعلان الرئيسي بالنسخ الثلاث جنباً إلى جنب لتسهيل الاختيار.</t>
  </si>
  <si>
    <t xml:space="preserve">5) ورقة «حقائق تحتاج تأكيداً»: كل جملة في النصوص تعتمد على معلومة من الإدارة. راجعها قبل التفعيل.</t>
  </si>
  <si>
    <t xml:space="preserve">قواعد الحروف المطبقة (تم التحقق آلياً): العنوان ≤ 30 حرفاً، الوصف ≤ 90، نص Sitelink ≤ 25 وسطرا وصفه ≤ 35، Callout ≤ 25، قيمة Snippet ≤ 25. عمود «الحروف» في كل ورقة صيغة حية تعيد الحساب إن عدّلت النص.</t>
  </si>
  <si>
    <t xml:space="preserve">العنوان 1 «حضانة قرات الأعين بالياسمين» مثبّت في الموضع 1 في كل المجموعات العربية (ما عدا المذكور). لا تثبّت أكثر من عنوان واحد حتى لا تنخفض قوة الإعلان.</t>
  </si>
  <si>
    <t xml:space="preserve">النصوص العربية بدون تشكيل عمداً، لأن علامات التشكيل تُحسب حروفاً.</t>
  </si>
  <si>
    <t xml:space="preserve">الخطوة التالية بعد اختيار النبرة: تجهيز ملف استيراد Google Ads Editor (CSV) بالنسخة المختارة فقط.</t>
  </si>
  <si>
    <t xml:space="preserve">أداء الكلمات المفتاحية – Keyword Planner، الرياض، 19 أكتوبر 2026</t>
  </si>
  <si>
    <t xml:space="preserve">100 كلمة مرتبة بحجم البحث. «حصة ظهور حسابنا الآن» = نسبة ظهور حملة Smart الحالية على هذه الكلمة. الأشرطة الزرقاء حجم البحث، التدرج الأخضر حصة الظهور، التدرج الأحمر تكلفة النقرة.</t>
  </si>
  <si>
    <t xml:space="preserve">الكلمة</t>
  </si>
  <si>
    <t xml:space="preserve">المجموعة (كما رُفعت)</t>
  </si>
  <si>
    <t xml:space="preserve">البحث الشهري</t>
  </si>
  <si>
    <t xml:space="preserve">نقطة وسط</t>
  </si>
  <si>
    <t xml:space="preserve">تغير 3 أشهر</t>
  </si>
  <si>
    <t xml:space="preserve">تغير سنوي</t>
  </si>
  <si>
    <t xml:space="preserve">المنافسة</t>
  </si>
  <si>
    <t xml:space="preserve">حصة ظهور حسابنا الآن</t>
  </si>
  <si>
    <t xml:space="preserve">عرض أعلى الصفحة أدنى (ريال)</t>
  </si>
  <si>
    <t xml:space="preserve">عرض أعلى الصفحة أعلى (ريال)</t>
  </si>
  <si>
    <t xml:space="preserve">القرار النهائي</t>
  </si>
  <si>
    <t xml:space="preserve">حضانة</t>
  </si>
  <si>
    <t xml:space="preserve">حضانة – عام</t>
  </si>
  <si>
    <t xml:space="preserve">10K – 100K</t>
  </si>
  <si>
    <t xml:space="preserve">0%</t>
  </si>
  <si>
    <t xml:space="preserve">Low</t>
  </si>
  <si>
    <t xml:space="preserve">اختبار</t>
  </si>
  <si>
    <t xml:space="preserve">روضة</t>
  </si>
  <si>
    <t xml:space="preserve">روضة / رياض أطفال</t>
  </si>
  <si>
    <t xml:space="preserve">سلبية تامة [ ]</t>
  </si>
  <si>
    <t xml:space="preserve">قرة</t>
  </si>
  <si>
    <t xml:space="preserve">برنامج قرة</t>
  </si>
  <si>
    <t xml:space="preserve">nursery near me</t>
  </si>
  <si>
    <t xml:space="preserve">English</t>
  </si>
  <si>
    <t xml:space="preserve">1K – 10K</t>
  </si>
  <si>
    <t xml:space="preserve">Medium</t>
  </si>
  <si>
    <t xml:space="preserve">أساسية</t>
  </si>
  <si>
    <t xml:space="preserve">ضيافة اطفال</t>
  </si>
  <si>
    <t xml:space="preserve">daycare near me</t>
  </si>
  <si>
    <t xml:space="preserve">رياض اطفال</t>
  </si>
  <si>
    <t xml:space="preserve">مراقبة</t>
  </si>
  <si>
    <t xml:space="preserve">حضانه قريبه مني</t>
  </si>
  <si>
    <t xml:space="preserve">قريب مني</t>
  </si>
  <si>
    <t xml:space="preserve">مركز ضيافة اطفال</t>
  </si>
  <si>
    <t xml:space="preserve">روضة اطفال</t>
  </si>
  <si>
    <t xml:space="preserve">ثانوية</t>
  </si>
  <si>
    <t xml:space="preserve">حضانة اطفال</t>
  </si>
  <si>
    <t xml:space="preserve">+900%</t>
  </si>
  <si>
    <t xml:space="preserve">تسجيل روضة</t>
  </si>
  <si>
    <t xml:space="preserve">حضانات قرة</t>
  </si>
  <si>
    <t xml:space="preserve">100 – 1K</t>
  </si>
  <si>
    <t xml:space="preserve">حضانة قرة</t>
  </si>
  <si>
    <t xml:space="preserve">kindergarten near me</t>
  </si>
  <si>
    <t xml:space="preserve">-90%</t>
  </si>
  <si>
    <t xml:space="preserve">preschool near me</t>
  </si>
  <si>
    <t xml:space="preserve">حضانات الرياض</t>
  </si>
  <si>
    <t xml:space="preserve">preschool riyadh</t>
  </si>
  <si>
    <t xml:space="preserve">روضة اهلية</t>
  </si>
  <si>
    <t xml:space="preserve">روضة أهلية</t>
  </si>
  <si>
    <t xml:space="preserve">روضات اهلية</t>
  </si>
  <si>
    <t xml:space="preserve">nursery riyadh</t>
  </si>
  <si>
    <t xml:space="preserve">حضانة اطفال قريبة مني</t>
  </si>
  <si>
    <t xml:space="preserve">رعاية اطفال</t>
  </si>
  <si>
    <t xml:space="preserve">حضانة قريبة من موقعي</t>
  </si>
  <si>
    <t xml:space="preserve">daycare riyadh</t>
  </si>
  <si>
    <t xml:space="preserve">اقرب حضانة</t>
  </si>
  <si>
    <t xml:space="preserve">أقرب حضانة</t>
  </si>
  <si>
    <t xml:space="preserve">مركز رعاية اطفال</t>
  </si>
  <si>
    <t xml:space="preserve">روضة قريبة مني</t>
  </si>
  <si>
    <t xml:space="preserve">حضانة قريبة مني</t>
  </si>
  <si>
    <t xml:space="preserve">روضة الياسمين</t>
  </si>
  <si>
    <t xml:space="preserve">الأحياء</t>
  </si>
  <si>
    <t xml:space="preserve">حضانات</t>
  </si>
  <si>
    <t xml:space="preserve">حضانات قريبة من موقعي</t>
  </si>
  <si>
    <t xml:space="preserve">مركز حضانة</t>
  </si>
  <si>
    <t xml:space="preserve">روضات الرياض</t>
  </si>
  <si>
    <t xml:space="preserve">حضانة قريبة</t>
  </si>
  <si>
    <t xml:space="preserve">روضة قريبة</t>
  </si>
  <si>
    <t xml:space="preserve">تمهيدي</t>
  </si>
  <si>
    <t xml:space="preserve">سلبية</t>
  </si>
  <si>
    <t xml:space="preserve">روضه قريبه مني</t>
  </si>
  <si>
    <t xml:space="preserve">تسجيل روضة اطفال</t>
  </si>
  <si>
    <t xml:space="preserve">دعم قرة</t>
  </si>
  <si>
    <t xml:space="preserve">حضانة في الرياض</t>
  </si>
  <si>
    <t xml:space="preserve">10 – 100</t>
  </si>
  <si>
    <t xml:space="preserve">حضانة حطين</t>
  </si>
  <si>
    <t xml:space="preserve">قرات الأعين</t>
  </si>
  <si>
    <t xml:space="preserve">العلامة التجارية</t>
  </si>
  <si>
    <t xml:space="preserve">قرات الاعين</t>
  </si>
  <si>
    <t xml:space="preserve">حضانة النرجس</t>
  </si>
  <si>
    <t xml:space="preserve">حضانة العارض</t>
  </si>
  <si>
    <t xml:space="preserve">افضل حضانة في الرياض</t>
  </si>
  <si>
    <t xml:space="preserve">High</t>
  </si>
  <si>
    <t xml:space="preserve">حضانة حي الياسمين</t>
  </si>
  <si>
    <t xml:space="preserve">حضانة الملقا</t>
  </si>
  <si>
    <t xml:space="preserve">حضانة رضع</t>
  </si>
  <si>
    <t xml:space="preserve">رضع</t>
  </si>
  <si>
    <t xml:space="preserve">حضانة للرضع</t>
  </si>
  <si>
    <t xml:space="preserve">حضانة اطفال شمال الرياض</t>
  </si>
  <si>
    <t xml:space="preserve">حضانة حي الملقا</t>
  </si>
  <si>
    <t xml:space="preserve">حضانة العقيق</t>
  </si>
  <si>
    <t xml:space="preserve">حضانة مسائية الرياض</t>
  </si>
  <si>
    <t xml:space="preserve">مسائية</t>
  </si>
  <si>
    <t xml:space="preserve">حضانة بالساعة</t>
  </si>
  <si>
    <t xml:space="preserve">حضانة بالرياض</t>
  </si>
  <si>
    <t xml:space="preserve">حضانة اطفال الرياض</t>
  </si>
  <si>
    <t xml:space="preserve">حضانة اطفال بالرياض</t>
  </si>
  <si>
    <t xml:space="preserve">افضل حضانة بالرياض</t>
  </si>
  <si>
    <t xml:space="preserve">اقرب روضة اطفال</t>
  </si>
  <si>
    <t xml:space="preserve">حضانة مسائية</t>
  </si>
  <si>
    <t xml:space="preserve">حضانة مسائية شمال الرياض</t>
  </si>
  <si>
    <t xml:space="preserve">+∞</t>
  </si>
  <si>
    <t xml:space="preserve">حضانة حي العارض</t>
  </si>
  <si>
    <t xml:space="preserve">اقرب حضانة اطفال</t>
  </si>
  <si>
    <t xml:space="preserve">حضانة شمال الرياض</t>
  </si>
  <si>
    <t xml:space="preserve">حضانة القيروان</t>
  </si>
  <si>
    <t xml:space="preserve">best nursery in riyadh</t>
  </si>
  <si>
    <t xml:space="preserve">حضانة اطفال رضع</t>
  </si>
  <si>
    <t xml:space="preserve">حضانة الغدير</t>
  </si>
  <si>
    <t xml:space="preserve">دار حضانة</t>
  </si>
  <si>
    <t xml:space="preserve">حضانة الياسمين</t>
  </si>
  <si>
    <t xml:space="preserve">حضانة حي النرجس</t>
  </si>
  <si>
    <t xml:space="preserve">روضات الملقا</t>
  </si>
  <si>
    <t xml:space="preserve">حضانة حي الصحافة</t>
  </si>
  <si>
    <t xml:space="preserve">حضانة الربيع</t>
  </si>
  <si>
    <t xml:space="preserve">حضانة الندى</t>
  </si>
  <si>
    <t xml:space="preserve">روضة اطفال الرياض</t>
  </si>
  <si>
    <t xml:space="preserve">رياض اطفال شمال الرياض</t>
  </si>
  <si>
    <t xml:space="preserve">تسجيل تمهيدي</t>
  </si>
  <si>
    <t xml:space="preserve">افضل روضة في الرياض</t>
  </si>
  <si>
    <t xml:space="preserve">التسجيل في برنامج قرة</t>
  </si>
  <si>
    <t xml:space="preserve">حضانة اطفال حديثي الولادة</t>
  </si>
  <si>
    <t xml:space="preserve">حضانة 24 ساعة</t>
  </si>
  <si>
    <t xml:space="preserve">اسعار الحضانات في الرياض</t>
  </si>
  <si>
    <t xml:space="preserve">نية سعر/تسجيل</t>
  </si>
  <si>
    <t xml:space="preserve">مستبعدة (قرار)</t>
  </si>
  <si>
    <t xml:space="preserve">اسعار حضانات الرياض</t>
  </si>
  <si>
    <t xml:space="preserve">اسعار الحضانة</t>
  </si>
  <si>
    <t xml:space="preserve">تسجيل حضانة</t>
  </si>
  <si>
    <t xml:space="preserve">حضانة اطفال حي الياسمين</t>
  </si>
  <si>
    <t xml:space="preserve">روضة اطفال اهلية الرياض</t>
  </si>
  <si>
    <t xml:space="preserve">حضانة قرات الأعين</t>
  </si>
  <si>
    <t xml:space="preserve">حضانة قرة الاعين</t>
  </si>
  <si>
    <t xml:space="preserve">حضانة اهلية</t>
  </si>
  <si>
    <t xml:space="preserve">—</t>
  </si>
  <si>
    <t xml:space="preserve">حذف (صفر بحث)</t>
  </si>
  <si>
    <t xml:space="preserve">حضانة أهلية</t>
  </si>
  <si>
    <t xml:space="preserve">حضانات اهلية</t>
  </si>
  <si>
    <t xml:space="preserve">حضانة نهارية</t>
  </si>
  <si>
    <t xml:space="preserve">حضانة يومية</t>
  </si>
  <si>
    <t xml:space="preserve">ملخص حسب المجموعة كما رُفعت</t>
  </si>
  <si>
    <t xml:space="preserve">المجموعة</t>
  </si>
  <si>
    <t xml:space="preserve">عدد الكلمات</t>
  </si>
  <si>
    <t xml:space="preserve">بحث شهري تقديري</t>
  </si>
  <si>
    <t xml:space="preserve">أعلى حصة ظهور حالية</t>
  </si>
  <si>
    <t xml:space="preserve">أدنى عرض أعلى الصفحة</t>
  </si>
  <si>
    <t xml:space="preserve">أعلى عرض أعلى الصفحة</t>
  </si>
  <si>
    <t xml:space="preserve">بيانات Keyword Planner (الرياض، 19 أكتوبر 2026) مع القرار النهائي لكل كلمة</t>
  </si>
  <si>
    <t xml:space="preserve">«حصة ظهور Smart الحالية» = نسبة مرات ظهور حسابك اليوم على هذه الكلمة. نقطة الوسط تقدير للترتيب فقط. الصفوف: أخضر أساسية، أزرق اختبار/ثانوية، أصفر مشروطة/مراقبة، أحمر سلبية أو محذوفة.</t>
  </si>
  <si>
    <t xml:space="preserve">حصة ظهور Smart الحالية</t>
  </si>
  <si>
    <t xml:space="preserve">عرض أعلى الصفحة (أدنى) ريال</t>
  </si>
  <si>
    <t xml:space="preserve">عرض أعلى الصفحة (أعلى) ريال</t>
  </si>
  <si>
    <t xml:space="preserve">الحملة</t>
  </si>
  <si>
    <t xml:space="preserve">المطابقة</t>
  </si>
  <si>
    <t xml:space="preserve">حد النقرة المقترح ريال</t>
  </si>
  <si>
    <t xml:space="preserve">القرار</t>
  </si>
  <si>
    <t xml:space="preserve">السبب</t>
  </si>
  <si>
    <t xml:space="preserve">حملة 1 – أساسية</t>
  </si>
  <si>
    <t xml:space="preserve">A1 ضيافة أطفال – عام</t>
  </si>
  <si>
    <t xml:space="preserve">Phrase + Exact</t>
  </si>
  <si>
    <t xml:space="preserve">المصطلح الرسمي «ضيافة أطفال» 1K–10K بمنافسة منخفضة وحصة ظهورنا 2–5% فقط</t>
  </si>
  <si>
    <t xml:space="preserve">Phrase</t>
  </si>
  <si>
    <t xml:space="preserve">منافسة عالية لكن نية قوية، مزايدة أقل</t>
  </si>
  <si>
    <t xml:space="preserve">A2 قريب مني</t>
  </si>
  <si>
    <t xml:space="preserve">الإملاء العامي «حضانه قريبه مني» 1K–10K أي 10 أضعاف الإملاء الفصيح. أعلى نية تحويل وأكثر ظهوراً في الخرائط</t>
  </si>
  <si>
    <t xml:space="preserve">A3 English</t>
  </si>
  <si>
    <t xml:space="preserve">طلب إنجليزي أكبر من المتوقع: near me 1K–10K لكل من nursery وdaycare. حصة ظهورنا 4–5%</t>
  </si>
  <si>
    <t xml:space="preserve">A4 حضانات قرة (منافس + برنامج)</t>
  </si>
  <si>
    <t xml:space="preserve">المنافس «حضانة قرة» + نية البرنامج في كلمة واحدة. أعلى حصة ظهور حالية (21%). إعلان مقارنة بدون ذكر الاسم</t>
  </si>
  <si>
    <t xml:space="preserve">A5 الأحياء</t>
  </si>
  <si>
    <t xml:space="preserve">أحجام صغيرة (10–100) لكنها رخيصة وعالية النية وتظهر في الخرائط. تُجمع في مجموعة واحدة</t>
  </si>
  <si>
    <t xml:space="preserve">A6 العلامة التجارية</t>
  </si>
  <si>
    <t xml:space="preserve">Exact</t>
  </si>
  <si>
    <t xml:space="preserve">حصة ظهورنا على اسمنا 18% فقط. الهدف ≥ 90% بأرخص نقرة في الحساب</t>
  </si>
  <si>
    <t xml:space="preserve">A7 رضع</t>
  </si>
  <si>
    <t xml:space="preserve">قسم الرضع مؤكد. 10–100 بحث بأرخص نقرة (0.83–0.94) وميزة تنافسية</t>
  </si>
  <si>
    <t xml:space="preserve">حملة 2 – استكشاف</t>
  </si>
  <si>
    <t xml:space="preserve">B1 اختبار [حضانة]</t>
  </si>
  <si>
    <t xml:space="preserve">أكبر حجم في القائمة (10K–100K) بمنافسة منخفضة، لكن النية مختلطة. تُختبر بمطابقة تامة ومزايدة منخفضة وسلبيات صارمة</t>
  </si>
  <si>
    <t xml:space="preserve">B2 روضة أهلية</t>
  </si>
  <si>
    <t xml:space="preserve">«روضة اهلية» أرخص نقرة (0.91–2.77) بحجم 100–1K. تناسب الأعمار 3–6</t>
  </si>
  <si>
    <t xml:space="preserve">B3 رياض أطفال وتسجيل – مراقبة</t>
  </si>
  <si>
    <t xml:space="preserve">حجم كبير (تسجيل روضة 1K–10K) لكن جزء كبير منه تسجيل حكومي عبر نظام نور. مزايدة منخفضة ومراجعة مصطلحات أسبوعية</t>
  </si>
  <si>
    <t xml:space="preserve">B4 برنامج قرة – مراقبة</t>
  </si>
  <si>
    <t xml:space="preserve">الباحثة تبحث عن البرنامج نفسه لا عن حضانة. الإعلان يقدّم «حضانة معتمدة في قرة». حصة ظهور حالية &lt;1%</t>
  </si>
  <si>
    <t xml:space="preserve">قرار الإدارة: لا تسعير في الحملة. لا تُستهدف ولا تُحجب</t>
  </si>
  <si>
    <t xml:space="preserve">حجم ضخم (10K–100K) لكن النية ليست حضانة: «قرة» = البرنامج الحكومي، «روضة» = حي الروضة والروضة الشريفة والحدائق. تُضاف سلبية بمطابقة تامة حتى لا تُحجب العبارات المركبة</t>
  </si>
  <si>
    <t xml:space="preserve">خدمات لا نقدمها أو نية حكومية. «دار حضانة» تعني دار أيتام غالباً</t>
  </si>
  <si>
    <t xml:space="preserve">لا توجد فترة مسائية. تُضاف «مسائية» و«مسائي» سلبيات</t>
  </si>
  <si>
    <t xml:space="preserve">نستقبل من 6 أشهر فقط</t>
  </si>
  <si>
    <t xml:space="preserve">لا يوجد بحث. تُحذف من الكلمات ومن النصوص</t>
  </si>
  <si>
    <t xml:space="preserve">ملخص آلي</t>
  </si>
  <si>
    <t xml:space="preserve">كلمات أساسية</t>
  </si>
  <si>
    <t xml:space="preserve">بحث شهري تقديري (نقطة الوسط)</t>
  </si>
  <si>
    <t xml:space="preserve">مشروطة</t>
  </si>
  <si>
    <t xml:space="preserve">مستبعدة بقرار</t>
  </si>
  <si>
    <t xml:space="preserve">سلبية تامة</t>
  </si>
  <si>
    <t xml:space="preserve">محذوفة</t>
  </si>
  <si>
    <t xml:space="preserve">الهيكل المعدل: حملتان بدل واحدة</t>
  </si>
  <si>
    <t xml:space="preserve">حملة 1 أساسية (32 ريال/يوم): الطلب المؤكد وعالي النية. حملة 2 استكشاف (10 ريال/يوم): الحجم الكبير مختلط النية والاختبارات، بميزانية منفصلة حتى لا تأكل من الأساسية. المزايدة Manual CPC في أول 4 أسابيع بحدود النقرة أدناه، ثم Maximize conversions في حملة 1 بعد 15 تحويلاً حقيقياً.</t>
  </si>
  <si>
    <t xml:space="preserve">المجموعة الإعلانية</t>
  </si>
  <si>
    <t xml:space="preserve">حد النقرة (Manual CPC) ريال</t>
  </si>
  <si>
    <t xml:space="preserve">الحالة</t>
  </si>
  <si>
    <t xml:space="preserve">الكلمات</t>
  </si>
  <si>
    <t xml:space="preserve">ضيافة اطفال، مركز ضيافة اطفال، حضانة اطفال، حضانات الرياض، حضانة بالرياض، حضانة في الرياض، حضانة اطفال الرياض، حضانة اطفال بالرياض، مركز رعاية اطفال، رعاية اطفال، حضانات، حضانة شمال الرياض، حضانة اطفال شمال الرياض، مركز حضانة، افضل حضانة في الرياض، افضل حضانة بالرياض</t>
  </si>
  <si>
    <t xml:space="preserve">حضانه قريبه مني، حضانة قريبة مني، حضانة اطفال قريبة مني، حضانة قريبة من موقعي، حضانات قريبة من موقعي، اقرب حضانة، أقرب حضانة، اقرب حضانة اطفال، حضانة قريبة، روضة قريبة مني، روضه قريبه مني، اقرب روضة اطفال، روضة قريبة</t>
  </si>
  <si>
    <t xml:space="preserve">nursery near me، daycare near me، kindergarten near me، preschool near me، nursery riyadh، daycare riyadh، preschool riyadh، best nursery in riyadh</t>
  </si>
  <si>
    <t xml:space="preserve">حضانات قرة، حضانة قرة، حضانه قره، حضانة قره، حضانات قره، روضة قرة، قرة حضانة، حضانة قرة الرياض، حضانة قرة الياسمين، حضانة قرة شمال الرياض، حضانات معتمدة قرة، حضانة معتمدة في برنامج قرة، حضانة معتمدة قرة، حضانات مدعومة من قرة، حضانة مدعومة</t>
  </si>
  <si>
    <t xml:space="preserve">حضانة حي الياسمين، حضانة الياسمين، حضانة اطفال حي الياسمين، روضة الياسمين، حضانة النرجس، حضانة حي النرجس، حضانة الملقا، حضانة حي الملقا، روضات الملقا، حضانة العارض، حضانة حي العارض، حضانة حي الصحافة، حضانة القيروان، حضانة حطين، حضانة العقيق، حضانة الغدير، حضانة الربيع، حضانة الندى</t>
  </si>
  <si>
    <t xml:space="preserve">قرات الأعين، قرات الاعين، حضانة قرات الأعين، حضانة قرة الاعين</t>
  </si>
  <si>
    <t xml:space="preserve">حضانة رضع، حضانة للرضع، حضانة اطفال رضع، حضانة رضع الرياض، حضانة من عمر 6 شهور</t>
  </si>
  <si>
    <t xml:space="preserve">روضة اهلية، روضة أهلية، روضات اهلية، روضة اطفال، روضة اطفال الرياض، روضات الرياض، روضة اطفال اهلية الرياض، افضل روضة في الرياض، رياض اطفال شمال الرياض</t>
  </si>
  <si>
    <t xml:space="preserve">رياض اطفال، تسجيل روضة، تسجيل روضة اطفال، تسجيل حضانة</t>
  </si>
  <si>
    <t xml:space="preserve">برنامج قرة، دعم قرة، التسجيل في برنامج قرة</t>
  </si>
  <si>
    <t xml:space="preserve">إجمالي البحث الشهري التقديري – حملة 1</t>
  </si>
  <si>
    <t xml:space="preserve">إجمالي البحث الشهري التقديري – حملة 2</t>
  </si>
  <si>
    <t xml:space="preserve">إعداد</t>
  </si>
  <si>
    <t xml:space="preserve">القيمة</t>
  </si>
  <si>
    <t xml:space="preserve">ملاحظة</t>
  </si>
  <si>
    <t xml:space="preserve">الميزانية اليومية</t>
  </si>
  <si>
    <t xml:space="preserve">حملة 1: 32 ريال • حملة 2: 10 ريال</t>
  </si>
  <si>
    <t xml:space="preserve">الإجمالي 42 ريال ≈ 28% من 150 ريال/يوم الحالية. يبقى داخل سقف 25–30% حتى تُسجَّل تحويلات حقيقية</t>
  </si>
  <si>
    <t xml:space="preserve">المزايدة – الأسابيع 1–4</t>
  </si>
  <si>
    <t xml:space="preserve">Manual CPC مع حدود النقرة لكل مجموعة في الجدول أعلاه</t>
  </si>
  <si>
    <t xml:space="preserve">تحكم كامل. حدود النقرة مبنية على عمود «عرض أعلى الصفحة (أدنى)» + 20–40%</t>
  </si>
  <si>
    <t xml:space="preserve">المزايدة – بعد 15 تحويلاً حقيقياً شهرياً</t>
  </si>
  <si>
    <t xml:space="preserve">حملة 1: Maximize conversions • حملة 2: تبقى Manual CPC</t>
  </si>
  <si>
    <t xml:space="preserve">المزايدة – بعد 30+ تحويلاً</t>
  </si>
  <si>
    <t xml:space="preserve">حملة 1: Target CPA</t>
  </si>
  <si>
    <t xml:space="preserve">الهدف المبدئي 60–90 ريال للعميل المؤهل</t>
  </si>
  <si>
    <t xml:space="preserve">سلبيات بمطابقة تامة على مستوى الحملتين</t>
  </si>
  <si>
    <t xml:space="preserve">[قرة] • [روضة]</t>
  </si>
  <si>
    <t xml:space="preserve">تحجب البحث عن الكلمة المفردة فقط وتترك «حضانات قرة» و«روضة اهلية» تعمل</t>
  </si>
  <si>
    <t xml:space="preserve">سلبية خاصة بحملة 1</t>
  </si>
  <si>
    <t xml:space="preserve">[حضانة]</t>
  </si>
  <si>
    <t xml:space="preserve">حتى يذهب البحث عن الكلمة المفردة إلى مجموعة الاختبار في حملة 2 فقط</t>
  </si>
  <si>
    <t xml:space="preserve">توقع من Keyword Planner</t>
  </si>
  <si>
    <t xml:space="preserve">50 ريال/يوم → ≈ 1,680 نقرة/شهر بمتوسط 0.89 ريال، 72% موبايل</t>
  </si>
  <si>
    <t xml:space="preserve">تقدير Google متفائل. رقم 130 تحويل افتراض لا بيانات</t>
  </si>
  <si>
    <t xml:space="preserve">هدف الأسابيع الأربعة الأولى</t>
  </si>
  <si>
    <t xml:space="preserve">حصة ظهور ≥ 90% على العلامة التجارية • ≥ 40% على «حضانات قرة» و«قريب مني» • CTR ≥ 5% في حملة 1</t>
  </si>
  <si>
    <t xml:space="preserve">تُقارن بعمود حصة الظهور الحالية في ورقة التحليل</t>
  </si>
  <si>
    <t xml:space="preserve">قائمة الكلمات النهائية للرفع</t>
  </si>
  <si>
    <t xml:space="preserve">Phrase + Exact = تُرفع مرتين. المجموعات المشروطة والمراقبة تُرفع متوقفة (Paused) وتُفعَّل بقرار.</t>
  </si>
  <si>
    <t xml:space="preserve">حد النقرة ريال</t>
  </si>
  <si>
    <t xml:space="preserve">حضانه قره</t>
  </si>
  <si>
    <t xml:space="preserve">لا بيانات (غير مرفوعة)</t>
  </si>
  <si>
    <t xml:space="preserve">حضانة قره</t>
  </si>
  <si>
    <t xml:space="preserve">حضانات قره</t>
  </si>
  <si>
    <t xml:space="preserve">روضة قرة</t>
  </si>
  <si>
    <t xml:space="preserve">قرة حضانة</t>
  </si>
  <si>
    <t xml:space="preserve">حضانة قرة الرياض</t>
  </si>
  <si>
    <t xml:space="preserve">حضانة قرة الياسمين</t>
  </si>
  <si>
    <t xml:space="preserve">حضانة قرة شمال الرياض</t>
  </si>
  <si>
    <t xml:space="preserve">حضانات معتمدة قرة</t>
  </si>
  <si>
    <t xml:space="preserve">حضانة معتمدة في برنامج قرة</t>
  </si>
  <si>
    <t xml:space="preserve">حضانة معتمدة قرة</t>
  </si>
  <si>
    <t xml:space="preserve">حضانات مدعومة من قرة</t>
  </si>
  <si>
    <t xml:space="preserve">حضانة مدعومة</t>
  </si>
  <si>
    <t xml:space="preserve">حضانة رضع الرياض</t>
  </si>
  <si>
    <t xml:space="preserve">حضانة من عمر 6 شهور</t>
  </si>
  <si>
    <t xml:space="preserve">كلمات سلبية إضافية بناءً على البيانات</t>
  </si>
  <si>
    <t xml:space="preserve">تُضاف فوق القائمة المشتركة في ورقة «السلبيات». السلبيات بمطابقة تامة تحجب البحث المطابق حرفياً فقط.</t>
  </si>
  <si>
    <t xml:space="preserve">أين</t>
  </si>
  <si>
    <t xml:space="preserve">الحملتان</t>
  </si>
  <si>
    <t xml:space="preserve">مطابقة تامة</t>
  </si>
  <si>
    <t xml:space="preserve">البرنامج الحكومي، 10K–100K بنية غير حضانة</t>
  </si>
  <si>
    <t xml:space="preserve">حي الروضة / الروضة الشريفة / حدائق</t>
  </si>
  <si>
    <t xml:space="preserve">حملة 1 فقط</t>
  </si>
  <si>
    <t xml:space="preserve">تُترك لمجموعة الاختبار في حملة 2</t>
  </si>
  <si>
    <t xml:space="preserve">تسجيل حكومي غالباً</t>
  </si>
  <si>
    <t xml:space="preserve">نظام نور</t>
  </si>
  <si>
    <t xml:space="preserve">تسجيل حكومي</t>
  </si>
  <si>
    <t xml:space="preserve">نور</t>
  </si>
  <si>
    <t xml:space="preserve">تسجيل حكومي (راقب ألا تحجب اسم حي أو شخص)</t>
  </si>
  <si>
    <t xml:space="preserve">بالساعة</t>
  </si>
  <si>
    <t xml:space="preserve">خدمة غير متاحة</t>
  </si>
  <si>
    <t xml:space="preserve">24 ساعة</t>
  </si>
  <si>
    <t xml:space="preserve">نصف يوم</t>
  </si>
  <si>
    <t xml:space="preserve">يُحذف إن توفرت</t>
  </si>
  <si>
    <t xml:space="preserve">دوام جزئي</t>
  </si>
  <si>
    <t xml:space="preserve">دار أيتام غالباً</t>
  </si>
  <si>
    <t xml:space="preserve">حديثي الولادة</t>
  </si>
  <si>
    <t xml:space="preserve">نستقبل من 6 أشهر</t>
  </si>
  <si>
    <t xml:space="preserve">لا توجد فترة مسائية (قرار الإدارة)</t>
  </si>
  <si>
    <t xml:space="preserve">مسائي</t>
  </si>
  <si>
    <t xml:space="preserve">لا توجد فترة مسائية</t>
  </si>
  <si>
    <t xml:space="preserve">فترة مسائية</t>
  </si>
  <si>
    <t xml:space="preserve">بعد الظهر</t>
  </si>
  <si>
    <t xml:space="preserve">ليلية</t>
  </si>
  <si>
    <t xml:space="preserve">حملة 2 – مجموعة [حضانة]</t>
  </si>
  <si>
    <t xml:space="preserve">بيض، خدج، مستشفى، نباتات، مشتل، قطط، طيور، تفريخ، جهاز</t>
  </si>
  <si>
    <t xml:space="preserve">المعاني الأخرى لكلمة حضانة</t>
  </si>
  <si>
    <t xml:space="preserve">تعديلات النصوص المطبقة في أوراق النبرات</t>
  </si>
  <si>
    <t xml:space="preserve">طُبّقت فعلاً في أوراق النبرة A وB وC في هذا الملف. باقي النصوص كما هي لأن البيانات تدعمها.</t>
  </si>
  <si>
    <t xml:space="preserve">النبرة</t>
  </si>
  <si>
    <t xml:space="preserve">الموضع</t>
  </si>
  <si>
    <t xml:space="preserve">النص القديم</t>
  </si>
  <si>
    <t xml:space="preserve">النص الجديد</t>
  </si>
  <si>
    <t xml:space="preserve">السبب من البيانات</t>
  </si>
  <si>
    <t xml:space="preserve">A</t>
  </si>
  <si>
    <t xml:space="preserve">عنوان 12</t>
  </si>
  <si>
    <t xml:space="preserve">حضانة أهلية في شمال الرياض</t>
  </si>
  <si>
    <t xml:space="preserve">مركز ضيافة أطفال بالياسمين</t>
  </si>
  <si>
    <t xml:space="preserve">«حضانة أهلية» صفر بحث، و«ضيافة اطفال» 1K–10K بمنافسة منخفضة</t>
  </si>
  <si>
    <t xml:space="preserve">برنامج قرة – عناوين</t>
  </si>
  <si>
    <t xml:space="preserve">["حضانة معتمدة في برنامج قرة","استفيدي من دعم قرة","مؤهلة لدعم الأمهات العاملات"]</t>
  </si>
  <si>
    <t xml:space="preserve">["حضانة معتمدة في برنامج قرة","من حضانات قرة المعتمدة","استفيدي من دعم قرة","مؤهلة لدعم الأمهات العاملات"]</t>
  </si>
  <si>
    <t xml:space="preserve">«حضانات قرة» و«حضانة قرة» أعلى كلمتين في حصة الظهور الحالية (21%)، المجموعة صارت أساسية</t>
  </si>
  <si>
    <t xml:space="preserve">B</t>
  </si>
  <si>
    <t xml:space="preserve">["معتمدة في برنامج قرة","دعم قرة يخفف عنك","نساعدك تستفيدين من قرة"]</t>
  </si>
  <si>
    <t xml:space="preserve">["معتمدة في برنامج قرة","حضانتك المعتمدة في قرة","دعم قرة يخفف عنك","نساعدك تستفيدين من قرة"]</t>
  </si>
  <si>
    <t xml:space="preserve">نفس السبب</t>
  </si>
  <si>
    <t xml:space="preserve">C</t>
  </si>
  <si>
    <t xml:space="preserve">["معتمدة في برنامج قرة","وفّري مع دعم قرة","مؤهلة لدعم الأمهات العاملات"]</t>
  </si>
  <si>
    <t xml:space="preserve">["معتمدة في برنامج قرة","حضانات قرة في الياسمين","وفّري مع دعم قرة","مؤهلة لدعم الأمهات العاملات"]</t>
  </si>
  <si>
    <t xml:space="preserve">English H9</t>
  </si>
  <si>
    <t xml:space="preserve">Daycare in North Riyadh</t>
  </si>
  <si>
    <t xml:space="preserve">Nursery &amp; Daycare Near You</t>
  </si>
  <si>
    <t xml:space="preserve">«nursery near me» و«daycare near me» 1K–10K لكل منهما</t>
  </si>
  <si>
    <t xml:space="preserve">English D1</t>
  </si>
  <si>
    <t xml:space="preserve">Licensed nursery and daycare in Al Yasmin, Riyadh. Full-day care while you work.</t>
  </si>
  <si>
    <t xml:space="preserve">Licensed nursery, daycare and preschool in Al Yasmin, Riyadh. Full-day care as you work.</t>
  </si>
  <si>
    <t xml:space="preserve">«preschool near me» و«preschool riyadh» 100–1K</t>
  </si>
  <si>
    <t xml:space="preserve">English H10</t>
  </si>
  <si>
    <t xml:space="preserve">Enroll Your Little One</t>
  </si>
  <si>
    <t xml:space="preserve">Preschool &amp; Daycare Near You</t>
  </si>
  <si>
    <t xml:space="preserve">English H8</t>
  </si>
  <si>
    <t xml:space="preserve">Nursery in Al Yasmin, Riyadh</t>
  </si>
  <si>
    <t xml:space="preserve">Nursery &amp; Preschool Near You</t>
  </si>
  <si>
    <t xml:space="preserve">روضة – عنوان 1</t>
  </si>
  <si>
    <t xml:space="preserve">روضة أطفال أهلية بالياسمين</t>
  </si>
  <si>
    <t xml:space="preserve">روضة أهلية في حي الياسمين</t>
  </si>
  <si>
    <t xml:space="preserve">«روضة اهلية» 100–1K وأرخص نقرة في القائمة (0.91 ريال)</t>
  </si>
  <si>
    <t xml:space="preserve">عنوان 2</t>
  </si>
  <si>
    <t xml:space="preserve">رسوم تبدأ من 1,650 ريال</t>
  </si>
  <si>
    <t xml:space="preserve">حضانة مرخصة في الياسمين</t>
  </si>
  <si>
    <t xml:space="preserve">قرار الإدارة: لا تسعير في الحملة</t>
  </si>
  <si>
    <t xml:space="preserve">وصف 1</t>
  </si>
  <si>
    <t xml:space="preserve">حضانة مرخصة في حي الياسمين، رسوم تبدأ من 1,650 ريال ومقاعد محدودة هذا الشهر. احجزي زيارتك.</t>
  </si>
  <si>
    <t xml:space="preserve">حضانة مرخصة في حي الياسمين ومقاعد محدودة هذا الشهر. احجزي زيارتك اليوم أو اطلبي الاتجاهات.</t>
  </si>
  <si>
    <t xml:space="preserve">لا تسعير</t>
  </si>
  <si>
    <t xml:space="preserve">وصف 3</t>
  </si>
  <si>
    <t xml:space="preserve">نرد عليك بالرسوم والمواعيد خلال دقائق</t>
  </si>
  <si>
    <t xml:space="preserve">نرد عليك بالتفاصيل والمواعيد خلال دقائق</t>
  </si>
  <si>
    <t xml:space="preserve">Sitelink 1</t>
  </si>
  <si>
    <t xml:space="preserve">("الرسوم من 1,650 ريال","تفاصيل الرسوم","وما تشمله الباقة")</t>
  </si>
  <si>
    <t xml:space="preserve">("لماذا قرات الأعين","مرخصة ومعتمدة","في برنامج قرة")</t>
  </si>
  <si>
    <t xml:space="preserve">Callout 1</t>
  </si>
  <si>
    <t xml:space="preserve">"رسوم تبدأ من 1,650 ريال",</t>
  </si>
  <si>
    <t xml:space="preserve">"قسم مخصص للرضع",</t>
  </si>
  <si>
    <t xml:space="preserve">لا تسعير + قسم الرضع مؤكد</t>
  </si>
  <si>
    <t xml:space="preserve">English H2</t>
  </si>
  <si>
    <t xml:space="preserve">Fees From SAR 1,650</t>
  </si>
  <si>
    <t xml:space="preserve">Dedicated Infant Section</t>
  </si>
  <si>
    <t xml:space="preserve">Licensed nursery in Al Yasmin, Riyadh. Fees from SAR 1,650 and limited places this month.</t>
  </si>
  <si>
    <t xml:space="preserve">Licensed nursery in Al Yasmin, Riyadh. Limited places this month. Book your visit today.</t>
  </si>
  <si>
    <t xml:space="preserve">English D3</t>
  </si>
  <si>
    <t xml:space="preserve">We reply with fees and times within minutes.</t>
  </si>
  <si>
    <t xml:space="preserve">We reply with details and times within minutes.</t>
  </si>
  <si>
    <t xml:space="preserve">العلامة التجارية – وصف</t>
  </si>
  <si>
    <t xml:space="preserve">الرسوم والمقاعد المتاحة وحجز الزيارة.</t>
  </si>
  <si>
    <t xml:space="preserve">الأعمار والمقاعد المتاحة وحجز الزيارة.</t>
  </si>
  <si>
    <t xml:space="preserve">العلامة التجارية – عنوان 3</t>
  </si>
  <si>
    <t xml:space="preserve">الرسوم والمقاعد المتاحة</t>
  </si>
  <si>
    <t xml:space="preserve">الأعمار والمقاعد المتاحة</t>
  </si>
  <si>
    <t xml:space="preserve">برنامج قرة – وصف</t>
  </si>
  <si>
    <t xml:space="preserve">استفيدي من الدعم وخففي الرسوم. تواصلي لمعرفة الخطوات.</t>
  </si>
  <si>
    <t xml:space="preserve">استفيدي من الدعم وسجلي طفلك. تواصلي لمعرفة الخطوات.</t>
  </si>
  <si>
    <t xml:space="preserve">Sitelink 4 – سطر 1</t>
  </si>
  <si>
    <t xml:space="preserve">("واتساب رد سريع","اسألي عن الرسوم","والمواعيد مباشرة")</t>
  </si>
  <si>
    <t xml:space="preserve">("واتساب رد سريع","اسألي عن المقاعد","والمواعيد مباشرة")</t>
  </si>
  <si>
    <t xml:space="preserve">وصف 4</t>
  </si>
  <si>
    <t xml:space="preserve">لمعرفة الرسوم الحالية والمقاعد المتاحة هذا الشهر.</t>
  </si>
  <si>
    <t xml:space="preserve">لمعرفة التفاصيل والمقاعد المتاحة هذا الشهر.</t>
  </si>
  <si>
    <t xml:space="preserve">("الرسوم والعروض","الرسوم الحالية","وما تشمله الباقة")</t>
  </si>
  <si>
    <t xml:space="preserve">("قسم الرضع","من عمر 6 أشهر","بكوادر مدربة")</t>
  </si>
  <si>
    <t xml:space="preserve">English D4</t>
  </si>
  <si>
    <t xml:space="preserve">for current fees and available places this month.</t>
  </si>
  <si>
    <t xml:space="preserve">for details and available places this month.</t>
  </si>
  <si>
    <t xml:space="preserve">الرسوم والأعمار وبرنامج قرة وحجز الزيارة.</t>
  </si>
  <si>
    <t xml:space="preserve">الأعمار وقسم الرضع وقرة وحجز الزيارة.</t>
  </si>
  <si>
    <t xml:space="preserve">Sitelink 4</t>
  </si>
  <si>
    <t xml:space="preserve">("الرسوم والباقات","تفاصيل الرسوم","وما تشمله")</t>
  </si>
  <si>
    <t xml:space="preserve">("قسم الرضع","من عمر 6 أشهر","بحنان وصبر")</t>
  </si>
  <si>
    <t xml:space="preserve">عنوان 14</t>
  </si>
  <si>
    <t xml:space="preserve">متابعة يومية لولي الأمر</t>
  </si>
  <si>
    <t xml:space="preserve">قسم مخصص للرضع من 6 أشهر</t>
  </si>
  <si>
    <t xml:space="preserve">قسم الرضع مؤكد ويميّزنا، و«متابعة يومية» لم تُؤكد</t>
  </si>
  <si>
    <t xml:space="preserve">عنوان 7</t>
  </si>
  <si>
    <t xml:space="preserve">نخبرك بكل جديد عن طفلك</t>
  </si>
  <si>
    <t xml:space="preserve">قسم هادئ للرضع من 6 أشهر</t>
  </si>
  <si>
    <t xml:space="preserve">رعاية ومتابعة يومية</t>
  </si>
  <si>
    <t xml:space="preserve">قسم مخصص للرضع</t>
  </si>
  <si>
    <t xml:space="preserve">["حضانة معتمدة في برنامج قرة","من حضانات قرة المعتمدة","قارني قبل ما تقررين","استفيدي من دعم قرة"]</t>
  </si>
  <si>
    <t xml:space="preserve">المنافس «حضانة قرة»: الباحثة تقارن، نرد بدعوة للمقارنة بدون ذكر اسم</t>
  </si>
  <si>
    <t xml:space="preserve">["معتمدة في برنامج قرة","حضانتك المعتمدة في قرة","زورينا وقارني بنفسك","دعم قرة يخفف عنك"]</t>
  </si>
  <si>
    <t xml:space="preserve">["معتمدة في برنامج قرة","حضانات قرة في الياسمين","قارني واحجزي اليوم","وفّري مع دعم قرة"]</t>
  </si>
  <si>
    <t xml:space="preserve">استهداف المنافس «حضانة قرة»</t>
  </si>
  <si>
    <t xml:space="preserve">#</t>
  </si>
  <si>
    <t xml:space="preserve">الخطوة</t>
  </si>
  <si>
    <t xml:space="preserve">التفاصيل</t>
  </si>
  <si>
    <t xml:space="preserve">1</t>
  </si>
  <si>
    <t xml:space="preserve">المنافس: «حضانة قرة»</t>
  </si>
  <si>
    <t xml:space="preserve">الكلمات المضافة في مجموعة A4: حضانة قرة، حضانات قرة، حضانه قره، حضانة قره، حضانات قره، روضة قرة، قرة حضانة، حضانة قرة الرياض، حضانة قرة الياسمين، حضانة قرة شمال الرياض</t>
  </si>
  <si>
    <t xml:space="preserve">تنبيه: نفس الكلمات تحمل نية «حضانة معتمدة في برنامج قرة» الحكومي. المجموعة تخدم النيتين معاً، لذلك بقيت في الحملة الأساسية</t>
  </si>
  <si>
    <t xml:space="preserve">1-ب</t>
  </si>
  <si>
    <t xml:space="preserve">كلمة «قرة» في نص الإعلان</t>
  </si>
  <si>
    <t xml:space="preserve">نستخدم «معتمدة في برنامج قرة» فقط (وصف لاعتماد حكومي) ولا نكتب «حضانة قرة» أبداً</t>
  </si>
  <si>
    <t xml:space="preserve">إن قدّم المنافس شكوى علامة تجارية على كلمة «قرة»، البديل الجاهز: «معتمدة في برنامج دعم الحضانات الحكومي»</t>
  </si>
  <si>
    <t xml:space="preserve">2</t>
  </si>
  <si>
    <t xml:space="preserve">مجموعة إعلانية منفصلة في حملة 2</t>
  </si>
  <si>
    <t xml:space="preserve">مطابقة Phrase + Exact • حد النقرة 1.5 ريال • لا تُخلط مع مجموعات أخرى</t>
  </si>
  <si>
    <t xml:space="preserve">Quality Score سيكون منخفضاً (3–4) والنقرة أغلى</t>
  </si>
  <si>
    <t xml:space="preserve">3</t>
  </si>
  <si>
    <t xml:space="preserve">لا تكتب اسم المنافس في الإعلان</t>
  </si>
  <si>
    <t xml:space="preserve">لا في العناوين ولا الأوصاف ولا الروابط ولا Display path</t>
  </si>
  <si>
    <t xml:space="preserve">سياسة العلامات التجارية: الإعلان يُرفض أو يُشتكى</t>
  </si>
  <si>
    <t xml:space="preserve">4</t>
  </si>
  <si>
    <t xml:space="preserve">نص الإعلان يرد على سؤال المقارنة</t>
  </si>
  <si>
    <t xml:space="preserve">مثال عنوان 1: «بتدورين على حضانة في الياسمين؟» • عنوان 2: «قارني قبل ما تقررين» • عنوان 3: «معتمدة في قرة ومرخصة» • وصف: «حضانة مرخصة ومعتمدة في برنامج قرة في حي الياسمين، من 6 أشهر حتى 6 سنوات. احجزي زيارة وقارني بنفسك.»</t>
  </si>
  <si>
    <t xml:space="preserve">النبرة C الأنسب لهذه المجموعة</t>
  </si>
  <si>
    <t xml:space="preserve">5</t>
  </si>
  <si>
    <t xml:space="preserve">صفحة هبوط خاصة أو قسم «لماذا نحن»</t>
  </si>
  <si>
    <t xml:space="preserve">نقاط التميز مقابل السوق عموماً بدون ذكر أسماء</t>
  </si>
  <si>
    <t xml:space="preserve">ترفع معدل التحويل من زوار المنافس</t>
  </si>
  <si>
    <t xml:space="preserve">6</t>
  </si>
  <si>
    <t xml:space="preserve">معيار النجاح</t>
  </si>
  <si>
    <t xml:space="preserve">تكلفة العميل المؤهل ≤ ضعف تكلفته من مجموعة «قريب مني» بعد 4 أسابيع، وإلا تُوقف</t>
  </si>
  <si>
    <t xml:space="preserve">CTR سيكون أقل من نصف المجموعات العامة وهذا طبيعي</t>
  </si>
  <si>
    <t xml:space="preserve">7</t>
  </si>
  <si>
    <t xml:space="preserve">راقب مصطلحات البحث أسبوعياً</t>
  </si>
  <si>
    <t xml:space="preserve">افصل في تقرير Search terms بين «حضانة قرة» (منافس/برنامج) و«حضانة قرة + حي» (نية مكان)</t>
  </si>
  <si>
    <t xml:space="preserve">إن ظهر اسم كامل أطول للمنافس أضفه كلمة مفتاحية</t>
  </si>
  <si>
    <t xml:space="preserve">كيف تظهر حملة البحث في خرائط Google</t>
  </si>
  <si>
    <t xml:space="preserve">لا يوجد خيار «خرائط فقط» في Google Ads. حملة البحث تظهر في البحث والخرائط معاً متى كان أصل الموقع مفعّلاً والبحث ذا نية محلية. الخطوات التالية هي شروط الظهور وطريقة قياسه منفصلاً.</t>
  </si>
  <si>
    <t xml:space="preserve">المسؤول</t>
  </si>
  <si>
    <t xml:space="preserve">تحقق من ملف النشاط التجاري (Google Business Profile)</t>
  </si>
  <si>
    <t xml:space="preserve">الملف «حضانة قرات الأعين لضيافة الأطفال الأهلية» يجب أن يكون موثّقاً، والفئة الرئيسية «مركز رعاية نهارية» أو «حضانة»، والعنوان داخل نطاق الاستهداف، ورقم الهاتف 059 597 4390 نفسه في Ads والملف</t>
  </si>
  <si>
    <t xml:space="preserve">الإدارة + فريق الإعلانات</t>
  </si>
  <si>
    <t xml:space="preserve">اربط الملف بحساب Google Ads</t>
  </si>
  <si>
    <t xml:space="preserve">Google Ads ← Assets ← Location ← Link to a Google Business Profile ← اختر الملف. يحتاج أن يكون إيميل الحساب مالكاً أو مديراً للملف</t>
  </si>
  <si>
    <t xml:space="preserve">فريق الإعلانات</t>
  </si>
  <si>
    <t xml:space="preserve">فعّل أصل الموقع على مستوى الحملة</t>
  </si>
  <si>
    <t xml:space="preserve">داخل الحملة ← Assets ← Location ← تأكد أنه مفعّل وليس مستبعداً. بدونه لن يظهر الإعلان في الخرائط</t>
  </si>
  <si>
    <t xml:space="preserve">أضف أصل الاتصال (Call asset)</t>
  </si>
  <si>
    <t xml:space="preserve">الرقم 059 597 4390 مع Call reporting مفعّل وجدول يطابق ساعات الرد. يظهر زر الاتصال في الخرائط وفي البحث</t>
  </si>
  <si>
    <t xml:space="preserve">استهداف Presence فقط</t>
  </si>
  <si>
    <t xml:space="preserve">إعدادات الحملة ← Locations ← Location options ← Presence. الخرائط تعرض الإعلان للموجودين فعلياً قرب المركز</t>
  </si>
  <si>
    <t xml:space="preserve">كلمات بنية محلية</t>
  </si>
  <si>
    <t xml:space="preserve">مجموعتا «قريب مني» و«الأحياء» هما الأكثر ظهوراً في الخرائط. أضف Structured snippet بعنوان Neighborhoods بأسماء الأحياء</t>
  </si>
  <si>
    <t xml:space="preserve">لا تحاول عزل الخرائط</t>
  </si>
  <si>
    <t xml:space="preserve">لا يوجد خيار «خرائط فقط». الإعلان يظهر في البحث والخرائط معاً. إلغاء Search partners وDisplay لا يؤثر على الخرائط</t>
  </si>
  <si>
    <t xml:space="preserve">8</t>
  </si>
  <si>
    <t xml:space="preserve">قياس أداء الخرائط منفصلاً</t>
  </si>
  <si>
    <t xml:space="preserve">التقارير ← Segment ← Click type: «Get directions» و«Get location details» و«Mobile clicks-to-call» = نقرات الخرائط. قارنها بنقرات «Headline» = نقرات البحث للموقع</t>
  </si>
  <si>
    <t xml:space="preserve">9</t>
  </si>
  <si>
    <t xml:space="preserve">فئة التحويل Local actions</t>
  </si>
  <si>
    <t xml:space="preserve">في Goals ← Conversions ستظهر Local actions (Directions, Calls, Website visits من الملف) تلقائياً بعد الربط. اضبطها Secondary</t>
  </si>
  <si>
    <t xml:space="preserve">10</t>
  </si>
  <si>
    <t xml:space="preserve">اختبار الظهور</t>
  </si>
  <si>
    <t xml:space="preserve">لا تبحث عن إعلانك وتنقر عليه. استخدم Ad Preview and Diagnosis للبحث، وراقب Impressions بـ Click type للخرائط بعد 48 ساعة</t>
  </si>
  <si>
    <t xml:space="preserve">11</t>
  </si>
  <si>
    <t xml:space="preserve">تحسين الملف يرفع ظهور الخرائط</t>
  </si>
  <si>
    <t xml:space="preserve">صور حديثة، الدوام، الخدمات والأعمار، رابط الحجز، الرد على التقييمات، منشور أسبوعي (ملاحظة #6). جودة الملف تؤثر على ترتيب الإعلان في الخرائط</t>
  </si>
  <si>
    <t xml:space="preserve">الإدارة</t>
  </si>
  <si>
    <t xml:space="preserve">النبرة A – الثقة والاطمئنان</t>
  </si>
  <si>
    <t xml:space="preserve">رسمية دافئة. تُقدّم الترخيص والاعتماد والأمان أولاً. تناسب أُسراً تبحث عن مركز موثوق وتقارن بعناية.</t>
  </si>
  <si>
    <t xml:space="preserve">الإعلان الرئيسي (RSA) – المجموعتان 1 حضانة عام و2 قريب مني</t>
  </si>
  <si>
    <t xml:space="preserve">النص</t>
  </si>
  <si>
    <t xml:space="preserve">الحروف</t>
  </si>
  <si>
    <t xml:space="preserve">الحد ≤30</t>
  </si>
  <si>
    <t xml:space="preserve">عنوان 1 (مثبّت في الموضع 1)</t>
  </si>
  <si>
    <t xml:space="preserve">حضانة قرات الأعين بالياسمين</t>
  </si>
  <si>
    <t xml:space="preserve">يُثبّت في الموضع 1 فقط</t>
  </si>
  <si>
    <t xml:space="preserve">ضيافة أطفال مرخصة بالرياض</t>
  </si>
  <si>
    <t xml:space="preserve">عنوان 3</t>
  </si>
  <si>
    <t xml:space="preserve">مرخصة من الموارد البشرية</t>
  </si>
  <si>
    <t xml:space="preserve">عنوان 4</t>
  </si>
  <si>
    <t xml:space="preserve">معتمدة في برنامج قرة</t>
  </si>
  <si>
    <t xml:space="preserve">عنوان 5</t>
  </si>
  <si>
    <t xml:space="preserve">بيئة آمنة ومراقبة مستمرة</t>
  </si>
  <si>
    <t xml:space="preserve">عنوان 6</t>
  </si>
  <si>
    <t xml:space="preserve">كوادر مؤهلة وذات خبرة</t>
  </si>
  <si>
    <t xml:space="preserve">من 6 أشهر حتى 6 سنوات</t>
  </si>
  <si>
    <t xml:space="preserve">عنوان 8</t>
  </si>
  <si>
    <t xml:space="preserve">أنشطة تعليمية وترفيهية</t>
  </si>
  <si>
    <t xml:space="preserve">عنوان 9</t>
  </si>
  <si>
    <t xml:space="preserve">احجزي زيارة للمركز</t>
  </si>
  <si>
    <t xml:space="preserve">عنوان 10</t>
  </si>
  <si>
    <t xml:space="preserve">رعاية متكاملة طوال اليوم</t>
  </si>
  <si>
    <t xml:space="preserve">عنوان 11</t>
  </si>
  <si>
    <t xml:space="preserve">تواصلي معنا عبر واتساب</t>
  </si>
  <si>
    <t xml:space="preserve">عنوان 13</t>
  </si>
  <si>
    <t xml:space="preserve">اطمئني على طفلك كل يوم</t>
  </si>
  <si>
    <t xml:space="preserve">عنوان 15</t>
  </si>
  <si>
    <t xml:space="preserve">سجلي طفلك الآن</t>
  </si>
  <si>
    <t xml:space="preserve">الأوصاف – الإعلان الرئيسي</t>
  </si>
  <si>
    <t xml:space="preserve">الحد ≤90</t>
  </si>
  <si>
    <t xml:space="preserve">مركز ضيافة أطفال مرخص في حي الياسمين، رعاية متكاملة لطفلك أثناء يوم عملك.</t>
  </si>
  <si>
    <t xml:space="preserve">وصف 2</t>
  </si>
  <si>
    <t xml:space="preserve">أنشطة تعليمية وترفيهية، كوادر مؤهلة، وبيئة آمنة بمراقبة مستمرة طوال اليوم.</t>
  </si>
  <si>
    <t xml:space="preserve">نستقبل الأطفال من عمر 6 أشهر حتى 6 سنوات، والمركز معتمد في برنامج قرة. احجزي زيارتك.</t>
  </si>
  <si>
    <t xml:space="preserve">اتصلي أو راسلينا على واتساب لمعرفة التفاصيل والمقاعد المتاحة هذا الشهر.</t>
  </si>
  <si>
    <t xml:space="preserve">تخصيص لكل مجموعة – عناوين بديلة (تُضاف إلى الإعلان الرئيسي بدل 3 عناوين عامة)</t>
  </si>
  <si>
    <t xml:space="preserve">2. قريب مني – عنوان بديل 1</t>
  </si>
  <si>
    <t xml:space="preserve">أقرب حضانة مرخصة لك</t>
  </si>
  <si>
    <t xml:space="preserve">يحل محل عنوان من الإعلان الرئيسي (الأقل صلة)</t>
  </si>
  <si>
    <t xml:space="preserve">2. قريب مني – عنوان بديل 2</t>
  </si>
  <si>
    <t xml:space="preserve">حضانة قريبة منك بالياسمين</t>
  </si>
  <si>
    <t xml:space="preserve">2. قريب مني – عنوان بديل 3</t>
  </si>
  <si>
    <t xml:space="preserve">دقائق من بيتك أو عملك</t>
  </si>
  <si>
    <t xml:space="preserve">3. الأحياء – عنوان بديل 1</t>
  </si>
  <si>
    <t xml:space="preserve">نخدم الياسمين والنرجس</t>
  </si>
  <si>
    <t xml:space="preserve">3. الأحياء – عنوان بديل 2</t>
  </si>
  <si>
    <t xml:space="preserve">قريبة من الملقا والعارض</t>
  </si>
  <si>
    <t xml:space="preserve">3. الأحياء – عنوان بديل 3</t>
  </si>
  <si>
    <t xml:space="preserve">دقائق من الصحافة والقيروان</t>
  </si>
  <si>
    <t xml:space="preserve">4. روضة / رياض أطفال – عنوان بديل 1</t>
  </si>
  <si>
    <t xml:space="preserve">4. روضة / رياض أطفال – عنوان بديل 2</t>
  </si>
  <si>
    <t xml:space="preserve">تمهيدي ورياض أطفال</t>
  </si>
  <si>
    <t xml:space="preserve">4. روضة / رياض أطفال – عنوان بديل 3</t>
  </si>
  <si>
    <t xml:space="preserve">التسجيل في الروضة مفتوح</t>
  </si>
  <si>
    <t xml:space="preserve">5. برنامج قرة – عنوان بديل 1</t>
  </si>
  <si>
    <t xml:space="preserve">5. برنامج قرة – عنوان بديل 2</t>
  </si>
  <si>
    <t xml:space="preserve">من حضانات قرة المعتمدة</t>
  </si>
  <si>
    <t xml:space="preserve">5. برنامج قرة – عنوان بديل 3</t>
  </si>
  <si>
    <t xml:space="preserve">قارني قبل ما تقررين</t>
  </si>
  <si>
    <t xml:space="preserve">5. برنامج قرة – عنوان بديل 4</t>
  </si>
  <si>
    <t xml:space="preserve">استفيدي من دعم قرة</t>
  </si>
  <si>
    <t xml:space="preserve">7. العلامة التجارية – عنوان بديل 1</t>
  </si>
  <si>
    <t xml:space="preserve">الموقع الرسمي لقرات الأعين</t>
  </si>
  <si>
    <t xml:space="preserve">7. العلامة التجارية – عنوان بديل 2</t>
  </si>
  <si>
    <t xml:space="preserve">حضانة قرات الأعين الرسمية</t>
  </si>
  <si>
    <t xml:space="preserve">7. العلامة التجارية – عنوان بديل 3</t>
  </si>
  <si>
    <t xml:space="preserve">احجزي زيارتك مباشرة</t>
  </si>
  <si>
    <t xml:space="preserve">8. رضع – عنوان بديل 1</t>
  </si>
  <si>
    <t xml:space="preserve">8. رضع – عنوان بديل 2</t>
  </si>
  <si>
    <t xml:space="preserve">رعاية رضع بكوادر مدربة</t>
  </si>
  <si>
    <t xml:space="preserve">8. رضع – عنوان بديل 3</t>
  </si>
  <si>
    <t xml:space="preserve">نسب إشراف مناسبة للرضع</t>
  </si>
  <si>
    <t xml:space="preserve">تخصيص لكل مجموعة – وصف بديل</t>
  </si>
  <si>
    <t xml:space="preserve">2. قريب مني – وصف بديل</t>
  </si>
  <si>
    <t xml:space="preserve">حضانة مرخصة قريبة منك في الياسمين ومعتمدة في برنامج قرة. اطلبي الاتجاهات أو احجزي زيارتك.</t>
  </si>
  <si>
    <t xml:space="preserve">يحل محل الوصف 1</t>
  </si>
  <si>
    <t xml:space="preserve">3. الأحياء – وصف بديل</t>
  </si>
  <si>
    <t xml:space="preserve">حضانة مرخصة في حي الياسمين تخدم شمال الرياض: النرجس والملقا والعارض والصحافة والقيروان.</t>
  </si>
  <si>
    <t xml:space="preserve">4. روضة / رياض أطفال – وصف بديل</t>
  </si>
  <si>
    <t xml:space="preserve">روضة أطفال أهلية مرخصة في حي الياسمين، منهج أنشطة تعليمية يومية وكوادر مؤهلة. احجزي زيارة.</t>
  </si>
  <si>
    <t xml:space="preserve">5. برنامج قرة – وصف بديل</t>
  </si>
  <si>
    <t xml:space="preserve">مركز معتمد في برنامج قرة لدعم الأمهات العاملات، مرخص من الموارد البشرية في حي الياسمين.</t>
  </si>
  <si>
    <t xml:space="preserve">7. العلامة التجارية – وصف بديل</t>
  </si>
  <si>
    <t xml:space="preserve">الموقع الرسمي لحضانة قرات الأعين في حي الياسمين. الأعمار وقسم الرضع وقرة وحجز الزيارة.</t>
  </si>
  <si>
    <t xml:space="preserve">8. رضع – وصف بديل</t>
  </si>
  <si>
    <t xml:space="preserve">قسم مخصص للرضع من عمر 6 أشهر بكوادر مدربة وبيئة هادئة وآمنة. احجزي زيارة للاطمئنان بنفسك.</t>
  </si>
  <si>
    <t xml:space="preserve">المجموعة 6 English – العناوين</t>
  </si>
  <si>
    <t xml:space="preserve">Headline 1</t>
  </si>
  <si>
    <t xml:space="preserve">Qurrat Al Ayun Nursery</t>
  </si>
  <si>
    <t xml:space="preserve">Pin position 1</t>
  </si>
  <si>
    <t xml:space="preserve">Headline 2</t>
  </si>
  <si>
    <t xml:space="preserve">Licensed Nursery in Al Yasmin</t>
  </si>
  <si>
    <t xml:space="preserve">Headline 3</t>
  </si>
  <si>
    <t xml:space="preserve">Qurrah Program Accredited</t>
  </si>
  <si>
    <t xml:space="preserve">Headline 4</t>
  </si>
  <si>
    <t xml:space="preserve">Ages 6 Months to 6 Years</t>
  </si>
  <si>
    <t xml:space="preserve">Headline 5</t>
  </si>
  <si>
    <t xml:space="preserve">Safe, Supervised Environment</t>
  </si>
  <si>
    <t xml:space="preserve">Headline 6</t>
  </si>
  <si>
    <t xml:space="preserve">Qualified, Caring Staff</t>
  </si>
  <si>
    <t xml:space="preserve">Headline 7</t>
  </si>
  <si>
    <t xml:space="preserve">Book a Visit Today</t>
  </si>
  <si>
    <t xml:space="preserve">Headline 8</t>
  </si>
  <si>
    <t xml:space="preserve">Chat With Us on WhatsApp</t>
  </si>
  <si>
    <t xml:space="preserve">Headline 9</t>
  </si>
  <si>
    <t xml:space="preserve">Headline 10</t>
  </si>
  <si>
    <t xml:space="preserve">Daily Updates for Parents</t>
  </si>
  <si>
    <t xml:space="preserve">المجموعة 6 English – الأوصاف</t>
  </si>
  <si>
    <t xml:space="preserve">Description 1</t>
  </si>
  <si>
    <t xml:space="preserve">Description 2</t>
  </si>
  <si>
    <t xml:space="preserve">Educational and fun activities, qualified staff, and a safe supervised environment.</t>
  </si>
  <si>
    <t xml:space="preserve">Description 3</t>
  </si>
  <si>
    <t xml:space="preserve">Accredited by the Qurrah program. Ages 6 months to 6 years. Book your visit today.</t>
  </si>
  <si>
    <t xml:space="preserve">Description 4</t>
  </si>
  <si>
    <t xml:space="preserve">Call or message us on WhatsApp for details and available places this month.</t>
  </si>
  <si>
    <t xml:space="preserve">Sitelinks – نص الرابط</t>
  </si>
  <si>
    <t xml:space="preserve">الحد ≤25</t>
  </si>
  <si>
    <t xml:space="preserve">Sitelink 1 – النص</t>
  </si>
  <si>
    <t xml:space="preserve">قسم الرضع</t>
  </si>
  <si>
    <t xml:space="preserve">الرابط: القسم المقابل في صفحة الهبوط</t>
  </si>
  <si>
    <t xml:space="preserve">Sitelink 2 – النص</t>
  </si>
  <si>
    <t xml:space="preserve">برنامج دعم قرة</t>
  </si>
  <si>
    <t xml:space="preserve">Sitelink 3 – النص</t>
  </si>
  <si>
    <t xml:space="preserve">Sitelink 4 – النص</t>
  </si>
  <si>
    <t xml:space="preserve">يومنا في المركز</t>
  </si>
  <si>
    <t xml:space="preserve">Sitelink 5 – النص</t>
  </si>
  <si>
    <t xml:space="preserve">تواصلي عبر واتساب</t>
  </si>
  <si>
    <t xml:space="preserve">Sitelink 6 – النص</t>
  </si>
  <si>
    <t xml:space="preserve">موقعنا في الياسمين</t>
  </si>
  <si>
    <t xml:space="preserve">Sitelinks – سطرا الوصف</t>
  </si>
  <si>
    <t xml:space="preserve">الحد ≤35</t>
  </si>
  <si>
    <t xml:space="preserve">Sitelink 1 – سطر 1</t>
  </si>
  <si>
    <t xml:space="preserve">من عمر 6 أشهر</t>
  </si>
  <si>
    <t xml:space="preserve">Sitelink 1 – سطر 2</t>
  </si>
  <si>
    <t xml:space="preserve">بكوادر مدربة</t>
  </si>
  <si>
    <t xml:space="preserve">Sitelink 2 – سطر 1</t>
  </si>
  <si>
    <t xml:space="preserve">مركز معتمد</t>
  </si>
  <si>
    <t xml:space="preserve">Sitelink 2 – سطر 2</t>
  </si>
  <si>
    <t xml:space="preserve">كيف تستفيدين من الدعم</t>
  </si>
  <si>
    <t xml:space="preserve">Sitelink 3 – سطر 1</t>
  </si>
  <si>
    <t xml:space="preserve">اختاري الموعد</t>
  </si>
  <si>
    <t xml:space="preserve">Sitelink 3 – سطر 2</t>
  </si>
  <si>
    <t xml:space="preserve">المناسب لك</t>
  </si>
  <si>
    <t xml:space="preserve">الأنشطة والجدول</t>
  </si>
  <si>
    <t xml:space="preserve">Sitelink 4 – سطر 2</t>
  </si>
  <si>
    <t xml:space="preserve">اليومي للأطفال</t>
  </si>
  <si>
    <t xml:space="preserve">Sitelink 5 – سطر 1</t>
  </si>
  <si>
    <t xml:space="preserve">رد سريع</t>
  </si>
  <si>
    <t xml:space="preserve">Sitelink 5 – سطر 2</t>
  </si>
  <si>
    <t xml:space="preserve">في أوقات الدوام</t>
  </si>
  <si>
    <t xml:space="preserve">Sitelink 6 – سطر 1</t>
  </si>
  <si>
    <t xml:space="preserve">الاتجاهات</t>
  </si>
  <si>
    <t xml:space="preserve">Sitelink 6 – سطر 2</t>
  </si>
  <si>
    <t xml:space="preserve">ومواعيد الدوام</t>
  </si>
  <si>
    <t xml:space="preserve">Callouts</t>
  </si>
  <si>
    <t xml:space="preserve">Callout 2</t>
  </si>
  <si>
    <t xml:space="preserve">Callout 3</t>
  </si>
  <si>
    <t xml:space="preserve">Callout 4</t>
  </si>
  <si>
    <t xml:space="preserve">Callout 5</t>
  </si>
  <si>
    <t xml:space="preserve">بيئة آمنة ومراقبة</t>
  </si>
  <si>
    <t xml:space="preserve">Callout 6</t>
  </si>
  <si>
    <t xml:space="preserve">Callout 7</t>
  </si>
  <si>
    <t xml:space="preserve">Callout 8</t>
  </si>
  <si>
    <t xml:space="preserve">في قلب حي الياسمين</t>
  </si>
  <si>
    <t xml:space="preserve">Structured snippet – العنوان: Service catalog (الخدمات)</t>
  </si>
  <si>
    <t xml:space="preserve">قيمة 1</t>
  </si>
  <si>
    <t xml:space="preserve">ضيافة نهارية</t>
  </si>
  <si>
    <t xml:space="preserve">«رعاية رضع» تُحذف إن لم تتوفر</t>
  </si>
  <si>
    <t xml:space="preserve">قيمة 2</t>
  </si>
  <si>
    <t xml:space="preserve">رعاية رضع</t>
  </si>
  <si>
    <t xml:space="preserve">قيمة 3</t>
  </si>
  <si>
    <t xml:space="preserve">تعليم مبكر</t>
  </si>
  <si>
    <t xml:space="preserve">قيمة 4</t>
  </si>
  <si>
    <t xml:space="preserve">أنشطة ترفيهية</t>
  </si>
  <si>
    <t xml:space="preserve">قيمة 5</t>
  </si>
  <si>
    <t xml:space="preserve">متابعة يومية</t>
  </si>
  <si>
    <t xml:space="preserve">Structured snippet – العنوان: Neighborhoods (الأحياء) – مشترك</t>
  </si>
  <si>
    <t xml:space="preserve">الياسمين</t>
  </si>
  <si>
    <t xml:space="preserve">يرفع الصلة في الخرائط</t>
  </si>
  <si>
    <t xml:space="preserve">النرجس</t>
  </si>
  <si>
    <t xml:space="preserve">الملقا</t>
  </si>
  <si>
    <t xml:space="preserve">العارض</t>
  </si>
  <si>
    <t xml:space="preserve">الصحافة</t>
  </si>
  <si>
    <t xml:space="preserve">قيمة 6</t>
  </si>
  <si>
    <t xml:space="preserve">القيروان</t>
  </si>
  <si>
    <t xml:space="preserve">قيمة 7</t>
  </si>
  <si>
    <t xml:space="preserve">حطين</t>
  </si>
  <si>
    <t xml:space="preserve">أصول أخرى (مشتركة)</t>
  </si>
  <si>
    <t xml:space="preserve">الأصل</t>
  </si>
  <si>
    <t xml:space="preserve">Call asset</t>
  </si>
  <si>
    <t xml:space="preserve">059 597 4390</t>
  </si>
  <si>
    <t xml:space="preserve">Call reporting مفعّل، جدول يطابق ساعات الرد</t>
  </si>
  <si>
    <t xml:space="preserve">Location asset</t>
  </si>
  <si>
    <t xml:space="preserve">ربط ملف النشاط التجاري</t>
  </si>
  <si>
    <t xml:space="preserve">شرط الظهور في الخرائط</t>
  </si>
  <si>
    <t xml:space="preserve">Lead form asset</t>
  </si>
  <si>
    <t xml:space="preserve">عنوان: احجزي زيارة • الحقول: الاسم، الجوال، عمر الطفل • CTA: احجزي</t>
  </si>
  <si>
    <t xml:space="preserve">يتطلب رابط سياسة خصوصية معلناً على الموقع</t>
  </si>
  <si>
    <t xml:space="preserve">Message asset (WhatsApp)</t>
  </si>
  <si>
    <t xml:space="preserve">نص الترحيب: مرحباً، أرغب بالاستفسار عن الحضانة</t>
  </si>
  <si>
    <t xml:space="preserve">يُفعَّل إن كان متاحاً في السعودية</t>
  </si>
  <si>
    <t xml:space="preserve">Business name / Logo</t>
  </si>
  <si>
    <t xml:space="preserve">قرات الأعين • شعار 1:1 (1200×1200) و4:1 (1200×300)</t>
  </si>
  <si>
    <t xml:space="preserve">الشعار الرسمي بدون لقطة شاشة</t>
  </si>
  <si>
    <t xml:space="preserve">Image assets</t>
  </si>
  <si>
    <t xml:space="preserve">أفقية 1.91:1 (1200×628) • مربعة 1:1 (1200×1200) • عمودية 4:5 (960×1200)</t>
  </si>
  <si>
    <t xml:space="preserve">صور حقيقية للمركز، بدون نص أو شعار، وبدون وجوه أطفال إلا بموافقة ولي الأمر</t>
  </si>
  <si>
    <t xml:space="preserve">النبرة B – دافئة وقريبة</t>
  </si>
  <si>
    <t xml:space="preserve">كلام أم لأم. عاطفية وبسيطة، تُركّز على شعور الطفل والأمان النفسي. تناسب أول تجربة حضانة.</t>
  </si>
  <si>
    <t xml:space="preserve">رعاية تشبه البيت لطفلك</t>
  </si>
  <si>
    <t xml:space="preserve">طفلك في مكان يحبه</t>
  </si>
  <si>
    <t xml:space="preserve">يوم مليء باللعب والتعلم</t>
  </si>
  <si>
    <t xml:space="preserve">نحب أطفالنا ونفهمهم</t>
  </si>
  <si>
    <t xml:space="preserve">اطمئني وأنتِ في عملك</t>
  </si>
  <si>
    <t xml:space="preserve">مرخصة ومعتمدة في قرة</t>
  </si>
  <si>
    <t xml:space="preserve">زورينا وشوفي بنفسك</t>
  </si>
  <si>
    <t xml:space="preserve">قريبة منك في حي الياسمين</t>
  </si>
  <si>
    <t xml:space="preserve">مربيات صبورات ومحبات</t>
  </si>
  <si>
    <t xml:space="preserve">أول يوم يمر بدفء وأمان</t>
  </si>
  <si>
    <t xml:space="preserve">كلمينا على واتساب</t>
  </si>
  <si>
    <t xml:space="preserve">سجلي طفلك معنا</t>
  </si>
  <si>
    <t xml:space="preserve">حضانة في حي الياسمين يحس فيها طفلك بالأمان والدفء، ويرجع لك كل يوم بقصة جديدة.</t>
  </si>
  <si>
    <t xml:space="preserve">لعب وتعلم وأغاني وأنشطة يومية، مع مربيات صبورات يعرفن كيف يكسبن قلب الطفل.</t>
  </si>
  <si>
    <t xml:space="preserve">مرخصة من الموارد البشرية ومعتمدة في برنامج قرة، ونستقبل من 6 أشهر حتى 6 سنوات.</t>
  </si>
  <si>
    <t xml:space="preserve">زورينا وشوفي المكان بنفسك، أو كلمينا على واتساب ونرد عليك بكل التفاصيل.</t>
  </si>
  <si>
    <t xml:space="preserve">حضانة قريبة من بيتك</t>
  </si>
  <si>
    <t xml:space="preserve">على طريقك للعمل</t>
  </si>
  <si>
    <t xml:space="preserve">دقائق وطفلك في أمان</t>
  </si>
  <si>
    <t xml:space="preserve">قريبة من الياسمين والنرجس</t>
  </si>
  <si>
    <t xml:space="preserve">لأهل الملقا والعارض</t>
  </si>
  <si>
    <t xml:space="preserve">روضة يحبها طفلك</t>
  </si>
  <si>
    <t xml:space="preserve">أول خطوة تعليم بحب</t>
  </si>
  <si>
    <t xml:space="preserve">روضتنا في حي الياسمين</t>
  </si>
  <si>
    <t xml:space="preserve">حضانتك المعتمدة في قرة</t>
  </si>
  <si>
    <t xml:space="preserve">زورينا وقارني بنفسك</t>
  </si>
  <si>
    <t xml:space="preserve">دعم قرة يخفف عنك</t>
  </si>
  <si>
    <t xml:space="preserve">أهلاً بك في قرات الأعين</t>
  </si>
  <si>
    <t xml:space="preserve">زورينا في حي الياسمين</t>
  </si>
  <si>
    <t xml:space="preserve">نحتضن رضيعك بحنان</t>
  </si>
  <si>
    <t xml:space="preserve">رعاية رضع بقلب أم</t>
  </si>
  <si>
    <t xml:space="preserve">حضانة قريبة منك في حي الياسمين، على طريقك للعمل، يستقبل طفلك فيها وجه مبتسم كل صباح.</t>
  </si>
  <si>
    <t xml:space="preserve">حضانة دافئة في حي الياسمين، قريبة من أهل النرجس والملقا والعارض والصحافة والقيروان.</t>
  </si>
  <si>
    <t xml:space="preserve">روضة أطفال في حي الياسمين يتعلم فيها طفلك باللعب، ويبدأ رحلته التعليمية بحب وأمان.</t>
  </si>
  <si>
    <t xml:space="preserve">مركز معتمد في برنامج قرة، يساعدك الدعم على التوفيق بين عملك وراحة طفلك. تواصلي معنا.</t>
  </si>
  <si>
    <t xml:space="preserve">الصفحة الرسمية لحضانة قرات الأعين في حي الياسمين. تعرفي علينا واحجزي زيارة لطفلك.</t>
  </si>
  <si>
    <t xml:space="preserve">قسم هادئ ومخصص للرضع من عمر 6 أشهر، مربيات مدربات يتعاملن مع رضيعك بحنان وصبر.</t>
  </si>
  <si>
    <t xml:space="preserve">A Home Away From Home</t>
  </si>
  <si>
    <t xml:space="preserve">Your Child Will Love It Here</t>
  </si>
  <si>
    <t xml:space="preserve">Warm, Patient Caregivers</t>
  </si>
  <si>
    <t xml:space="preserve">Play, Learn and Grow Daily</t>
  </si>
  <si>
    <t xml:space="preserve">Licensed and Qurrah Accredited</t>
  </si>
  <si>
    <t xml:space="preserve">Come Visit Us in Al Yasmin</t>
  </si>
  <si>
    <t xml:space="preserve">Message Us on WhatsApp</t>
  </si>
  <si>
    <t xml:space="preserve">A warm nursery in Al Yasmin where your child feels safe, loved, and excited to come back.</t>
  </si>
  <si>
    <t xml:space="preserve">Play, songs, learning, and daily activities with patient caregivers who truly love kids.</t>
  </si>
  <si>
    <t xml:space="preserve">Licensed and accredited by the Qurrah program. We welcome ages 6 months to 6 years.</t>
  </si>
  <si>
    <t xml:space="preserve">Come see the place yourself, or message us on WhatsApp and we will tell you everything.</t>
  </si>
  <si>
    <t xml:space="preserve">شوفي يومنا مع الأطفال</t>
  </si>
  <si>
    <t xml:space="preserve">احجزي جولة بالمركز</t>
  </si>
  <si>
    <t xml:space="preserve">دعم برنامج قرة</t>
  </si>
  <si>
    <t xml:space="preserve">لعب وتعلم وأنشطة</t>
  </si>
  <si>
    <t xml:space="preserve">من الصباح للمساء</t>
  </si>
  <si>
    <t xml:space="preserve">تعالي شوفي المكان</t>
  </si>
  <si>
    <t xml:space="preserve">وتعرفي على المربيات</t>
  </si>
  <si>
    <t xml:space="preserve">نرد عليك بسرعة</t>
  </si>
  <si>
    <t xml:space="preserve">ونجاوب كل أسئلتك</t>
  </si>
  <si>
    <t xml:space="preserve">بحنان وصبر</t>
  </si>
  <si>
    <t xml:space="preserve">يساعدك الدعم</t>
  </si>
  <si>
    <t xml:space="preserve">قريبين منك</t>
  </si>
  <si>
    <t xml:space="preserve">الاتجاهات والدوام</t>
  </si>
  <si>
    <t xml:space="preserve">رعاية تشبه البيت</t>
  </si>
  <si>
    <t xml:space="preserve">لعب وتعلم كل يوم</t>
  </si>
  <si>
    <t xml:space="preserve">نخبرك بكل جديد</t>
  </si>
  <si>
    <t xml:space="preserve">بيئة آمنة ودافئة</t>
  </si>
  <si>
    <t xml:space="preserve">قريبة منك في الياسمين</t>
  </si>
  <si>
    <t xml:space="preserve">تعلم باللعب</t>
  </si>
  <si>
    <t xml:space="preserve">أنشطة فنية</t>
  </si>
  <si>
    <t xml:space="preserve">النبرة C – مباشرة وعملية</t>
  </si>
  <si>
    <t xml:space="preserve">أرقام وعرض ودعوة واضحة للفعل. تناسب أُسراً حسمت قرارها وتقارن السعر والمقاعد والقرب. أعلى CTR متوقع وأقل تمايز.</t>
  </si>
  <si>
    <t xml:space="preserve">مقاعد متاحة هذا الشهر</t>
  </si>
  <si>
    <t xml:space="preserve">دعم قرة للأمهات العاملات</t>
  </si>
  <si>
    <t xml:space="preserve">دوام يناسب ساعات عملك</t>
  </si>
  <si>
    <t xml:space="preserve">احجزي زيارة في دقيقة</t>
  </si>
  <si>
    <t xml:space="preserve">رد سريع على واتساب</t>
  </si>
  <si>
    <t xml:space="preserve">في قلب شمال الرياض</t>
  </si>
  <si>
    <t xml:space="preserve">اتصلي الآن واحجزي مقعد طفلك</t>
  </si>
  <si>
    <t xml:space="preserve">أنشطة تعليمية يومية</t>
  </si>
  <si>
    <t xml:space="preserve">التسجيل مفتوح الآن</t>
  </si>
  <si>
    <t xml:space="preserve">معتمدة في برنامج قرة لدعم الأمهات العاملات. من 6 أشهر حتى 6 سنوات، وأنشطة تعليمية يومية.</t>
  </si>
  <si>
    <t xml:space="preserve">اتصلي أو راسلينا على واتساب الآن، نرد عليك بالتفاصيل والمواعيد خلال دقائق في أوقات الدوام.</t>
  </si>
  <si>
    <t xml:space="preserve">كوادر مؤهلة، بيئة آمنة بمراقبة مستمرة، ومتابعة يومية لولي الأمر. سجلي طفلك اليوم.</t>
  </si>
  <si>
    <t xml:space="preserve">احجزي الآن، قريبة منك</t>
  </si>
  <si>
    <t xml:space="preserve">اطلبي الاتجاهات الآن</t>
  </si>
  <si>
    <t xml:space="preserve">تخدم الياسمين والنرجس</t>
  </si>
  <si>
    <t xml:space="preserve">روضة أهلية مرخصة بالياسمين</t>
  </si>
  <si>
    <t xml:space="preserve">مقاعد الروضة محدودة</t>
  </si>
  <si>
    <t xml:space="preserve">حضانات قرة في الياسمين</t>
  </si>
  <si>
    <t xml:space="preserve">قارني واحجزي اليوم</t>
  </si>
  <si>
    <t xml:space="preserve">وفّري مع دعم قرة</t>
  </si>
  <si>
    <t xml:space="preserve">احجزي مباشرة من الموقع</t>
  </si>
  <si>
    <t xml:space="preserve">قسم رضع من 6 أشهر</t>
  </si>
  <si>
    <t xml:space="preserve">مقاعد رضع متاحة الآن</t>
  </si>
  <si>
    <t xml:space="preserve">كوادر مدربة لرعاية الرضع</t>
  </si>
  <si>
    <t xml:space="preserve">حضانة مرخصة قريبة منك في حي الياسمين. اطلبي الاتجاهات أو اتصلي الآن لحجز مقعد طفلك.</t>
  </si>
  <si>
    <t xml:space="preserve">حضانة مرخصة في حي الياسمين، دقائق من النرجس والملقا والعارض والصحافة. احجزي مقعدك الآن.</t>
  </si>
  <si>
    <t xml:space="preserve">روضة أطفال أهلية مرخصة في حي الياسمين. التسجيل مفتوح والمقاعد محدودة. احجزي زيارة الآن.</t>
  </si>
  <si>
    <t xml:space="preserve">مركز معتمد في برنامج قرة. استفيدي من الدعم وسجلي طفلك. تواصلي لمعرفة الخطوات.</t>
  </si>
  <si>
    <t xml:space="preserve">الموقع الرسمي لحضانة قرات الأعين في حي الياسمين. الأعمار والمقاعد المتاحة وحجز الزيارة.</t>
  </si>
  <si>
    <t xml:space="preserve">قسم مخصص للرضع من عمر 6 أشهر بكوادر مدربة. مقاعد محدودة، احجزي زيارة الآن.</t>
  </si>
  <si>
    <t xml:space="preserve">Limited Places This Month</t>
  </si>
  <si>
    <t xml:space="preserve">Licensed, Qurrah Accredited</t>
  </si>
  <si>
    <t xml:space="preserve">Book a Visit in 1 Minute</t>
  </si>
  <si>
    <t xml:space="preserve">Fast Reply on WhatsApp</t>
  </si>
  <si>
    <t xml:space="preserve">Call Now to Reserve a Place</t>
  </si>
  <si>
    <t xml:space="preserve">Enrollment Open Now</t>
  </si>
  <si>
    <t xml:space="preserve">Qurrah program accredited. Ages 6 months to 6 years, with daily learning activities.</t>
  </si>
  <si>
    <t xml:space="preserve">Call or message us on WhatsApp now. We reply with details and times within minutes.</t>
  </si>
  <si>
    <t xml:space="preserve">Qualified staff, safe supervised environment, and daily parent updates. Enroll today.</t>
  </si>
  <si>
    <t xml:space="preserve">لماذا قرات الأعين</t>
  </si>
  <si>
    <t xml:space="preserve">مقاعد هذا الشهر</t>
  </si>
  <si>
    <t xml:space="preserve">احجزي زيارة الآن</t>
  </si>
  <si>
    <t xml:space="preserve">واتساب رد سريع</t>
  </si>
  <si>
    <t xml:space="preserve">الاتجاهات للمركز</t>
  </si>
  <si>
    <t xml:space="preserve">مرخصة ومعتمدة</t>
  </si>
  <si>
    <t xml:space="preserve">في برنامج قرة</t>
  </si>
  <si>
    <t xml:space="preserve">المقاعد المتاحة</t>
  </si>
  <si>
    <t xml:space="preserve">حسب الفئة العمرية</t>
  </si>
  <si>
    <t xml:space="preserve">نموذج قصير</t>
  </si>
  <si>
    <t xml:space="preserve">ونتصل بك</t>
  </si>
  <si>
    <t xml:space="preserve">اسألي عن المقاعد</t>
  </si>
  <si>
    <t xml:space="preserve">والمواعيد مباشرة</t>
  </si>
  <si>
    <t xml:space="preserve">خطوات الاستفادة</t>
  </si>
  <si>
    <t xml:space="preserve">حي الياسمين</t>
  </si>
  <si>
    <t xml:space="preserve">شمال الرياض</t>
  </si>
  <si>
    <t xml:space="preserve">أنشطة يومية</t>
  </si>
  <si>
    <t xml:space="preserve">متابعة لولي الأمر</t>
  </si>
  <si>
    <t xml:space="preserve">مقارنة النبرات الثلاث – الإعلان الرئيسي والأصول</t>
  </si>
  <si>
    <t xml:space="preserve">A: ثقة واطمئنان (ترخيص وأمان). B: دافئة وقريبة (مشاعر الطفل والأم). C: مباشرة وعملية (سعر ومقاعد ودعوة للفعل). يمكن المزج: نبرة واحدة للإعلان الرئيسي، وأخرى كإعلان ثانٍ في نفس المجموعة لاختبار A/B.</t>
  </si>
  <si>
    <t xml:space="preserve">عنوان 1</t>
  </si>
  <si>
    <t xml:space="preserve">Sitelink 2</t>
  </si>
  <si>
    <t xml:space="preserve">Sitelink 3</t>
  </si>
  <si>
    <t xml:space="preserve">Sitelink 5</t>
  </si>
  <si>
    <t xml:space="preserve">Sitelink 6</t>
  </si>
  <si>
    <t xml:space="preserve">حقائق في النصوص تحتاج تأكيد الإدارة</t>
  </si>
  <si>
    <t xml:space="preserve">أي جملة هنا تُعدَّل أو تُحذف إن لم تتأكد. كل ما عداها في النصوص عام ولا يحتاج إثباتاً.</t>
  </si>
  <si>
    <t xml:space="preserve">الجملة / الادعاء</t>
  </si>
  <si>
    <t xml:space="preserve">أين تظهر</t>
  </si>
  <si>
    <t xml:space="preserve">المطلوب قبل التفعيل</t>
  </si>
  <si>
    <t xml:space="preserve">التسعير</t>
  </si>
  <si>
    <t xml:space="preserve">أُزيل من كل النصوص</t>
  </si>
  <si>
    <t xml:space="preserve">في النبرات الثلاث</t>
  </si>
  <si>
    <t xml:space="preserve">تأكيد الأعمار المرخصة فعلياً</t>
  </si>
  <si>
    <t xml:space="preserve">نص فقط بدون شعار الوزارة (سياسة Misrepresentation)</t>
  </si>
  <si>
    <t xml:space="preserve">تأكيد سريان الاعتماد</t>
  </si>
  <si>
    <t xml:space="preserve">متابعة يومية لولي الأمر / نخبرك بكل جديد</t>
  </si>
  <si>
    <t xml:space="preserve">A وB وC</t>
  </si>
  <si>
    <t xml:space="preserve">تأكيد وجود آلية فعلية (تقرير يومي، صور، تطبيق)</t>
  </si>
  <si>
    <t xml:space="preserve">تأكيد الدوام الفعلي والسبت</t>
  </si>
  <si>
    <t xml:space="preserve">مقاعد متاحة / محدودة هذا الشهر</t>
  </si>
  <si>
    <t xml:space="preserve">تُحدَّث شهرياً، ولا تُستخدم إن كانت المقاعد كثيرة</t>
  </si>
  <si>
    <t xml:space="preserve">قسم رضع</t>
  </si>
  <si>
    <t xml:space="preserve">مجموعة A7 + عناوين في الإعلان الرئيسي</t>
  </si>
  <si>
    <t xml:space="preserve">مؤكد من الإدارة</t>
  </si>
  <si>
    <t xml:space="preserve">أُزيلت وأُضيفت سلبيات</t>
  </si>
  <si>
    <t xml:space="preserve">مؤكد من الإدارة: لا توجد</t>
  </si>
  <si>
    <t xml:space="preserve">أنشطة مونتيسوري</t>
  </si>
  <si>
    <t xml:space="preserve">غير مستخدمة عمداً</t>
  </si>
  <si>
    <t xml:space="preserve">تُضاف فقط إن كانت مطبقة فعلاً (ملاحظة #16)</t>
  </si>
  <si>
    <t xml:space="preserve">أرقام الهاتف</t>
  </si>
  <si>
    <t xml:space="preserve">غير موجودة في أي نص</t>
  </si>
  <si>
    <t xml:space="preserve">ممنوعة في العناوين والأوصاف. تُضاف عبر Call asset فقط</t>
  </si>
  <si>
    <t xml:space="preserve">الكلمات السلبية</t>
  </si>
  <si>
    <t xml:space="preserve">القائمة المشتركة تُنشأ في Tools ← Shared library ← Negative keyword lists وتُربط بحملة البحث وبحملة Smart (إن أمكن). الصفوف الحمراء كلمات سلبية موجودة اليوم في حملات Smart وتحجب بحثاً حقيقياً عن الحضانة، ويجب حذفها (ملاحظة #8).</t>
  </si>
  <si>
    <t xml:space="preserve">الإجراء</t>
  </si>
  <si>
    <t xml:space="preserve">الفئة</t>
  </si>
  <si>
    <t xml:space="preserve">الكلمة السلبية</t>
  </si>
  <si>
    <t xml:space="preserve">قائمة مشتركة – تُضاف</t>
  </si>
  <si>
    <t xml:space="preserve">تعليم/مدارس</t>
  </si>
  <si>
    <t xml:space="preserve">مدارس</t>
  </si>
  <si>
    <t xml:space="preserve">Broad</t>
  </si>
  <si>
    <t xml:space="preserve">مدرسة</t>
  </si>
  <si>
    <t xml:space="preserve">ابتدائي</t>
  </si>
  <si>
    <t xml:space="preserve">ابتدائية</t>
  </si>
  <si>
    <t xml:space="preserve">متوسط</t>
  </si>
  <si>
    <t xml:space="preserve">ثانوي</t>
  </si>
  <si>
    <t xml:space="preserve">تحفيظ</t>
  </si>
  <si>
    <t xml:space="preserve">قران</t>
  </si>
  <si>
    <t xml:space="preserve">قرآن</t>
  </si>
  <si>
    <t xml:space="preserve">حكومي</t>
  </si>
  <si>
    <t xml:space="preserve">حكومية</t>
  </si>
  <si>
    <t xml:space="preserve">منهج</t>
  </si>
  <si>
    <t xml:space="preserve">مناهج</t>
  </si>
  <si>
    <t xml:space="preserve">وظائف</t>
  </si>
  <si>
    <t xml:space="preserve">وظيفة</t>
  </si>
  <si>
    <t xml:space="preserve">توظيف</t>
  </si>
  <si>
    <t xml:space="preserve">رواتب</t>
  </si>
  <si>
    <t xml:space="preserve">راتب</t>
  </si>
  <si>
    <t xml:space="preserve">معلمة</t>
  </si>
  <si>
    <t xml:space="preserve">معلمات</t>
  </si>
  <si>
    <t xml:space="preserve">مطلوب</t>
  </si>
  <si>
    <t xml:space="preserve">تقديم على وظيفة</t>
  </si>
  <si>
    <t xml:space="preserve">سيرة ذاتية</t>
  </si>
  <si>
    <t xml:space="preserve">تدريب/دورات</t>
  </si>
  <si>
    <t xml:space="preserve">دورات</t>
  </si>
  <si>
    <t xml:space="preserve">دورة</t>
  </si>
  <si>
    <t xml:space="preserve">تدريب</t>
  </si>
  <si>
    <t xml:space="preserve">شهادة</t>
  </si>
  <si>
    <t xml:space="preserve">دبلوم</t>
  </si>
  <si>
    <t xml:space="preserve">رخصة مزاولة</t>
  </si>
  <si>
    <t xml:space="preserve">ترفيه</t>
  </si>
  <si>
    <t xml:space="preserve">ملاهي</t>
  </si>
  <si>
    <t xml:space="preserve">العاب</t>
  </si>
  <si>
    <t xml:space="preserve">ألعاب</t>
  </si>
  <si>
    <t xml:space="preserve">ترفيهي</t>
  </si>
  <si>
    <t xml:space="preserve">ترفيهية</t>
  </si>
  <si>
    <t xml:space="preserve">حفلات</t>
  </si>
  <si>
    <t xml:space="preserve">مخيم</t>
  </si>
  <si>
    <t xml:space="preserve">مخيم صيفي</t>
  </si>
  <si>
    <t xml:space="preserve">نادي صيفي</t>
  </si>
  <si>
    <t xml:space="preserve">منتجات</t>
  </si>
  <si>
    <t xml:space="preserve">مستلزمات</t>
  </si>
  <si>
    <t xml:space="preserve">ملابس</t>
  </si>
  <si>
    <t xml:space="preserve">كتب</t>
  </si>
  <si>
    <t xml:space="preserve">تلوين</t>
  </si>
  <si>
    <t xml:space="preserve">pdf</t>
  </si>
  <si>
    <t xml:space="preserve">اناشيد</t>
  </si>
  <si>
    <t xml:space="preserve">أناشيد</t>
  </si>
  <si>
    <t xml:space="preserve">اثاث</t>
  </si>
  <si>
    <t xml:space="preserve">أثاث</t>
  </si>
  <si>
    <t xml:space="preserve">تصميم</t>
  </si>
  <si>
    <t xml:space="preserve">ديكور</t>
  </si>
  <si>
    <t xml:space="preserve">كاميرات</t>
  </si>
  <si>
    <t xml:space="preserve">نوع خدمة مختلف</t>
  </si>
  <si>
    <t xml:space="preserve">جليسة</t>
  </si>
  <si>
    <t xml:space="preserve">مربية</t>
  </si>
  <si>
    <t xml:space="preserve">مربية منزلية</t>
  </si>
  <si>
    <t xml:space="preserve">حضانة منزلية</t>
  </si>
  <si>
    <t xml:space="preserve">شغالة</t>
  </si>
  <si>
    <t xml:space="preserve">خادمة</t>
  </si>
  <si>
    <t xml:space="preserve">بيبي سيتر</t>
  </si>
  <si>
    <t xml:space="preserve">جمعية</t>
  </si>
  <si>
    <t xml:space="preserve">ايتام</t>
  </si>
  <si>
    <t xml:space="preserve">أيتام</t>
  </si>
  <si>
    <t xml:space="preserve">دار رعاية</t>
  </si>
  <si>
    <t xml:space="preserve">مركز توحد</t>
  </si>
  <si>
    <t xml:space="preserve">معنى آخر لكلمة حضانة</t>
  </si>
  <si>
    <t xml:space="preserve">بيض</t>
  </si>
  <si>
    <t xml:space="preserve">دجاج</t>
  </si>
  <si>
    <t xml:space="preserve">خدج</t>
  </si>
  <si>
    <t xml:space="preserve">مستشفى</t>
  </si>
  <si>
    <t xml:space="preserve">نباتات</t>
  </si>
  <si>
    <t xml:space="preserve">شتلات</t>
  </si>
  <si>
    <t xml:space="preserve">مشتل</t>
  </si>
  <si>
    <t xml:space="preserve">قطط</t>
  </si>
  <si>
    <t xml:space="preserve">طيور</t>
  </si>
  <si>
    <t xml:space="preserve">تفريخ</t>
  </si>
  <si>
    <t xml:space="preserve">فتح حضانة (مستثمرون)</t>
  </si>
  <si>
    <t xml:space="preserve">فتح حضانة</t>
  </si>
  <si>
    <t xml:space="preserve">مشروع حضانة</t>
  </si>
  <si>
    <t xml:space="preserve">شروط فتح</t>
  </si>
  <si>
    <t xml:space="preserve">ترخيص حضانة</t>
  </si>
  <si>
    <t xml:space="preserve">رخصة حضانة</t>
  </si>
  <si>
    <t xml:space="preserve">دراسة جدوى</t>
  </si>
  <si>
    <t xml:space="preserve">تكلفة فتح</t>
  </si>
  <si>
    <t xml:space="preserve">استثمار</t>
  </si>
  <si>
    <t xml:space="preserve">مجاني</t>
  </si>
  <si>
    <t xml:space="preserve">مجانية</t>
  </si>
  <si>
    <t xml:space="preserve">مجانا</t>
  </si>
  <si>
    <t xml:space="preserve">مجاناً</t>
  </si>
  <si>
    <t xml:space="preserve">ببلاش</t>
  </si>
  <si>
    <t xml:space="preserve">مدن أخرى</t>
  </si>
  <si>
    <t xml:space="preserve">جدة</t>
  </si>
  <si>
    <t xml:space="preserve">الدمام</t>
  </si>
  <si>
    <t xml:space="preserve">الخبر</t>
  </si>
  <si>
    <t xml:space="preserve">مكة</t>
  </si>
  <si>
    <t xml:space="preserve">المدينة</t>
  </si>
  <si>
    <t xml:space="preserve">القصيم</t>
  </si>
  <si>
    <t xml:space="preserve">بريدة</t>
  </si>
  <si>
    <t xml:space="preserve">الطائف</t>
  </si>
  <si>
    <t xml:space="preserve">ابها</t>
  </si>
  <si>
    <t xml:space="preserve">أبها</t>
  </si>
  <si>
    <t xml:space="preserve">تبوك</t>
  </si>
  <si>
    <t xml:space="preserve">حائل</t>
  </si>
  <si>
    <t xml:space="preserve">الاحساء</t>
  </si>
  <si>
    <t xml:space="preserve">الأحساء</t>
  </si>
  <si>
    <t xml:space="preserve">جازان</t>
  </si>
  <si>
    <t xml:space="preserve">نجران</t>
  </si>
  <si>
    <t xml:space="preserve">الجبيل</t>
  </si>
  <si>
    <t xml:space="preserve">ينبع</t>
  </si>
  <si>
    <t xml:space="preserve">أحياء بعيدة عن النطاق</t>
  </si>
  <si>
    <t xml:space="preserve">الشفا</t>
  </si>
  <si>
    <t xml:space="preserve">العزيزية</t>
  </si>
  <si>
    <t xml:space="preserve">السويدي</t>
  </si>
  <si>
    <t xml:space="preserve">بدر</t>
  </si>
  <si>
    <t xml:space="preserve">الدار البيضاء</t>
  </si>
  <si>
    <t xml:space="preserve">النسيم</t>
  </si>
  <si>
    <t xml:space="preserve">الروضة</t>
  </si>
  <si>
    <t xml:space="preserve">الخليج</t>
  </si>
  <si>
    <t xml:space="preserve">اشبيلية</t>
  </si>
  <si>
    <t xml:space="preserve">إشبيلية</t>
  </si>
  <si>
    <t xml:space="preserve">المونسية</t>
  </si>
  <si>
    <t xml:space="preserve">قرطبة</t>
  </si>
  <si>
    <t xml:space="preserve">الرمال</t>
  </si>
  <si>
    <t xml:space="preserve">jobs</t>
  </si>
  <si>
    <t xml:space="preserve">job</t>
  </si>
  <si>
    <t xml:space="preserve">salary</t>
  </si>
  <si>
    <t xml:space="preserve">teacher</t>
  </si>
  <si>
    <t xml:space="preserve">vacancy</t>
  </si>
  <si>
    <t xml:space="preserve">free</t>
  </si>
  <si>
    <t xml:space="preserve">school</t>
  </si>
  <si>
    <t xml:space="preserve">course</t>
  </si>
  <si>
    <t xml:space="preserve">training</t>
  </si>
  <si>
    <t xml:space="preserve">plants</t>
  </si>
  <si>
    <t xml:space="preserve">incubator</t>
  </si>
  <si>
    <t xml:space="preserve">eggs</t>
  </si>
  <si>
    <t xml:space="preserve">franchise</t>
  </si>
  <si>
    <t xml:space="preserve">business plan</t>
  </si>
  <si>
    <t xml:space="preserve">تُحذف من الحملات الحالية</t>
  </si>
  <si>
    <t xml:space="preserve">تحجب طلباً أساسياً</t>
  </si>
  <si>
    <t xml:space="preserve">مراكز حضانة</t>
  </si>
  <si>
    <t xml:space="preserve">مركز رعاية نهارية</t>
  </si>
  <si>
    <t xml:space="preserve">مركز لرعاية الأطفال</t>
  </si>
  <si>
    <t xml:space="preserve">للطفولة المبكرة</t>
  </si>
  <si>
    <t xml:space="preserve">حي النرجس</t>
  </si>
  <si>
    <t xml:space="preserve">حضانات حي النرجس</t>
  </si>
  <si>
    <t xml:space="preserve">الربيع</t>
  </si>
  <si>
    <t xml:space="preserve">روضه اهليه</t>
  </si>
  <si>
    <t xml:space="preserve">روضات اهليه قريبه من موقعي</t>
  </si>
  <si>
    <t xml:space="preserve">إعدادات الحملة (مشتركة بين النبرات) – إصدار 1 (مرجع)</t>
  </si>
  <si>
    <t xml:space="preserve">الإعداد</t>
  </si>
  <si>
    <t xml:space="preserve">اسم الحملة</t>
  </si>
  <si>
    <t xml:space="preserve">قرات الأعين – بحث – الرياض</t>
  </si>
  <si>
    <t xml:space="preserve">نوع الحملة</t>
  </si>
  <si>
    <t xml:space="preserve">Search (بحث) بدون توجيه هدف، أو هدف Leads</t>
  </si>
  <si>
    <t xml:space="preserve">لا تختر Smart ولا Performance Max في هذه المرحلة</t>
  </si>
  <si>
    <t xml:space="preserve">الشبكات</t>
  </si>
  <si>
    <t xml:space="preserve">Google Search فقط</t>
  </si>
  <si>
    <t xml:space="preserve">ألغِ Search partners وألغِ Display Network. خرائط Google ضمن شبكة البحث وستظهر تلقائياً مع أصل الموقع</t>
  </si>
  <si>
    <t xml:space="preserve">الاستهداف الجغرافي</t>
  </si>
  <si>
    <t xml:space="preserve">نصف قطر 8–10 كم حول المركز (حي الياسمين) + أحياء: الياسمين، النرجس، الملقا، العارض، الصحافة، القيروان، حطين</t>
  </si>
  <si>
    <t xml:space="preserve">الخطة الأصلية: اختبار 8–10 كم بدل 14 كم لمدة 4 أسابيع (ملاحظة #17)</t>
  </si>
  <si>
    <t xml:space="preserve">خيار الموقع (Location options)</t>
  </si>
  <si>
    <t xml:space="preserve">Presence: الأشخاص الموجودون في المواقع المستهدفة أو يزورونها بانتظام</t>
  </si>
  <si>
    <t xml:space="preserve">لا تستخدم Presence or interest، فهو يجلب نقرات من خارج الرياض</t>
  </si>
  <si>
    <t xml:space="preserve">اللغات</t>
  </si>
  <si>
    <t xml:space="preserve">العربية + الإنجليزية</t>
  </si>
  <si>
    <t xml:space="preserve">المجموعة الإنجليزية منفصلة بنصوصها</t>
  </si>
  <si>
    <t xml:space="preserve">30 ريال</t>
  </si>
  <si>
    <t xml:space="preserve">≈ 25–30% من إجمالي 150 ريال/يوم (90 Smart + 60 الياسمين). تُنقل تدريجياً حسب تكلفة العميل</t>
  </si>
  <si>
    <t xml:space="preserve">استراتيجية المزايدة – المرحلة 1</t>
  </si>
  <si>
    <t xml:space="preserve">Maximize clicks مع حد أقصى لتكلفة النقرة 3 ريال</t>
  </si>
  <si>
    <t xml:space="preserve">الأسابيع 1–4 لجمع بيانات</t>
  </si>
  <si>
    <t xml:space="preserve">استراتيجية المزايدة – المرحلة 2</t>
  </si>
  <si>
    <t xml:space="preserve">Maximize conversions</t>
  </si>
  <si>
    <t xml:space="preserve">بعد تسجيل ≈ 15 تحويلاً حقيقياً شهرياً من الموقع</t>
  </si>
  <si>
    <t xml:space="preserve">استراتيجية المزايدة – المرحلة 3</t>
  </si>
  <si>
    <t xml:space="preserve">Target CPA</t>
  </si>
  <si>
    <t xml:space="preserve">بعد 30+ تحويلاً، الهدف المبدئي ≈ 60–90 ريال للعميل المؤهل ثم يُعدَّل</t>
  </si>
  <si>
    <t xml:space="preserve">جدول الإعلانات</t>
  </si>
  <si>
    <t xml:space="preserve">كل الأيام 24/7 في أول 4 أسابيع</t>
  </si>
  <si>
    <t xml:space="preserve">ثم إيقاف الساعات التي لا تأتي بعملاء (ملاحظة #25، #26)</t>
  </si>
  <si>
    <t xml:space="preserve">تدوير الإعلانات</t>
  </si>
  <si>
    <t xml:space="preserve">Optimize: prefer best performing ads</t>
  </si>
  <si>
    <t xml:space="preserve">إعداد Broad match keywords</t>
  </si>
  <si>
    <t xml:space="preserve">إيقاف</t>
  </si>
  <si>
    <t xml:space="preserve">حتى لا تتحول كل الكلمات إلى Broad</t>
  </si>
  <si>
    <t xml:space="preserve">AI Max for Search</t>
  </si>
  <si>
    <t xml:space="preserve">يُعاد تقييمه بعد شهرين من البيانات</t>
  </si>
  <si>
    <t xml:space="preserve">الأصول المُنشأة تلقائياً</t>
  </si>
  <si>
    <t xml:space="preserve">إيقاف Automatically created assets</t>
  </si>
  <si>
    <t xml:space="preserve">للتحكم الكامل في النصوص في البداية</t>
  </si>
  <si>
    <t xml:space="preserve">الرابط النهائي (Final URL)</t>
  </si>
  <si>
    <t xml:space="preserve">[صفحة الهبوط المخصصة]</t>
  </si>
  <si>
    <t xml:space="preserve">حتى جاهزيتها: الصفحة الرئيسية للموقع بعد التأكد من فهرسته (ملاحظة #5). لا توجّه الحملة إلى ملف النشاط التجاري</t>
  </si>
  <si>
    <t xml:space="preserve">قالب التتبع (Tracking template)</t>
  </si>
  <si>
    <t xml:space="preserve">{lpurl}?utm_source=google&amp;utm_medium=cpc&amp;utm_campaign=search_riyadh&amp;utm_term={keyword}&amp;utm_content={adgroupid}</t>
  </si>
  <si>
    <t xml:space="preserve">يُضبط على مستوى الحملة</t>
  </si>
  <si>
    <t xml:space="preserve">التحويلات Primary</t>
  </si>
  <si>
    <t xml:space="preserve">إرسال نموذج «احجزي زيارة» • نقرة واتساب • نقرة اتصال (tel:) من الموقع</t>
  </si>
  <si>
    <t xml:space="preserve">عبر Google tag أو GTM (خطوات 12–14 في الخطة)</t>
  </si>
  <si>
    <t xml:space="preserve">التحويلات Secondary</t>
  </si>
  <si>
    <t xml:space="preserve">طلب الاتجاهات • نقرات الموقع من الملف • مشاهدة القائمة • Calls from ads</t>
  </si>
  <si>
    <t xml:space="preserve">تُرى في التقارير ولا تؤثر على المزايدة</t>
  </si>
  <si>
    <t xml:space="preserve">Enhanced conversions for leads</t>
  </si>
  <si>
    <t xml:space="preserve">تفعيل مع رقم الجوال من النموذج</t>
  </si>
  <si>
    <t xml:space="preserve">لربط العميل المسجّل فعلياً بالنقرة (استيراد offline)</t>
  </si>
  <si>
    <t xml:space="preserve">التسمية</t>
  </si>
  <si>
    <t xml:space="preserve">الحساب: قرات الأعين – Google Ads • الحملة: قرات الأعين – بحث – الرياض • المجموعات: بأسماء وصفية</t>
  </si>
  <si>
    <t xml:space="preserve">ملاحظة #29</t>
  </si>
  <si>
    <t xml:space="preserve">هيكل المجموعات والكلمات المفتاحية – إصدار 1 (مرجع)</t>
  </si>
  <si>
    <t xml:space="preserve">Phrase + Exact = تُضاف الكلمة مرتين: "كلمة" و[كلمة]. المجموعتان 8 و9 لا تُفعَّلان إلا بعد تأكيد الخدمة. العلامة التجارية ≈ 10% من الميزانية.</t>
  </si>
  <si>
    <t xml:space="preserve">الكلمة المفتاحية</t>
  </si>
  <si>
    <t xml:space="preserve">نوع المطابقة</t>
  </si>
  <si>
    <t xml:space="preserve">1. حضانة – عام</t>
  </si>
  <si>
    <t xml:space="preserve">مفعّلة</t>
  </si>
  <si>
    <t xml:space="preserve">«مركز رعاية أطفال» كانت محجوبة بالسلبيات في الحملة الحالية</t>
  </si>
  <si>
    <t xml:space="preserve">2. قريب مني</t>
  </si>
  <si>
    <t xml:space="preserve">أعلى نية تحويل وأكثر ظهوراً في الخرائط</t>
  </si>
  <si>
    <t xml:space="preserve">3. الأحياء</t>
  </si>
  <si>
    <t xml:space="preserve">النرجس والقيروان كانا محجوبين بالسلبيات</t>
  </si>
  <si>
    <t xml:space="preserve">حضانة الصحافة</t>
  </si>
  <si>
    <t xml:space="preserve">حضانات شمال الرياض</t>
  </si>
  <si>
    <t xml:space="preserve">4. روضة / رياض أطفال</t>
  </si>
  <si>
    <t xml:space="preserve">راقب مصطلحات «مدارس» أسبوعياً وأضفها كسلبيات</t>
  </si>
  <si>
    <t xml:space="preserve">رياض اطفال الياسمين</t>
  </si>
  <si>
    <t xml:space="preserve">5. برنامج قرة</t>
  </si>
  <si>
    <t xml:space="preserve">تجنّب كلمة «قرة» منفردة (ملاحظة #18)</t>
  </si>
  <si>
    <t xml:space="preserve">حضانات برنامج قرة</t>
  </si>
  <si>
    <t xml:space="preserve">دعم قرة للحضانات</t>
  </si>
  <si>
    <t xml:space="preserve">6. English</t>
  </si>
  <si>
    <t xml:space="preserve">إعلان إنجليزي مخصص (ملاحظة #28)</t>
  </si>
  <si>
    <t xml:space="preserve">nursery al yasmin</t>
  </si>
  <si>
    <t xml:space="preserve">childcare riyadh</t>
  </si>
  <si>
    <t xml:space="preserve">7. العلامة التجارية</t>
  </si>
  <si>
    <t xml:space="preserve">≈ 10% من الميزانية. مزايدة منخفضة</t>
  </si>
  <si>
    <t xml:space="preserve">حضانة قرات الاعين</t>
  </si>
  <si>
    <t xml:space="preserve">8. رضع</t>
  </si>
  <si>
    <t xml:space="preserve">فقط إذا كان المركز يستقبل الرضع فعلياً</t>
  </si>
  <si>
    <t xml:space="preserve">9. مسائية (مشروط)</t>
  </si>
  <si>
    <t xml:space="preserve">فقط إذا توفرت فترة مسائية</t>
  </si>
  <si>
    <t xml:space="preserve">حضانة فترة مسائية</t>
  </si>
  <si>
    <t xml:space="preserve">حضانة بعد الظهر</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</si>
</sst>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General"/>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color rgb="FFC00000"/>
      <name val="Arial"/>
      <family val="0"/>
      <charset val="1"/>
    </font>
    <font>
      <i val="true"/>
      <sz val="10"/>
      <name val="Arial"/>
      <family val="0"/>
      <charset val="1"/>
    </font>
    <font>
      <sz val="10"/>
      <name val="Arial"/>
      <family val="0"/>
      <charset val="1"/>
    </font>
    <font>
      <b val="true"/>
      <sz val="11"/>
      <name val="Arial"/>
      <family val="0"/>
      <charset val="1"/>
    </font>
    <font>
      <b val="true"/>
      <sz val="10"/>
      <name val="Arial"/>
      <family val="0"/>
      <charset val="1"/>
    </font>
    <font>
      <i val="true"/>
      <sz val="10"/>
      <color rgb="FF595959"/>
      <name val="Arial"/>
      <family val="0"/>
      <charset val="1"/>
    </font>
    <font>
      <b val="true"/>
      <sz val="11"/>
      <color rgb="FFFFFFFF"/>
      <name val="Arial"/>
      <family val="0"/>
      <charset val="1"/>
    </font>
    <font>
      <sz val="9"/>
      <color rgb="FF595959"/>
      <name val="Arial"/>
      <family val="0"/>
      <charset val="1"/>
    </font>
    <font>
      <b val="true"/>
      <sz val="12"/>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DDEBF7"/>
        <bgColor rgb="FFE2EFDA"/>
      </patternFill>
    </fill>
    <fill>
      <patternFill patternType="solid">
        <fgColor rgb="FFFFF2CC"/>
        <bgColor rgb="FFE2EFDA"/>
      </patternFill>
    </fill>
    <fill>
      <patternFill patternType="solid">
        <fgColor rgb="FFF8CBA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tru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4" fontId="9" fillId="0" borderId="0" xfId="0" applyFont="true" applyBorder="false" applyAlignment="true" applyProtection="false">
      <alignment horizontal="righ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top" textRotation="0" wrapText="true" indent="0" shrinkToFit="false"/>
      <protection locked="true" hidden="false"/>
    </xf>
    <xf numFmtId="164" fontId="11" fillId="2" borderId="1" xfId="0" applyFont="true" applyBorder="true" applyAlignment="true" applyProtection="false">
      <alignment horizontal="right" vertical="top" textRotation="0" wrapText="true" indent="0" shrinkToFit="false"/>
      <protection locked="true" hidden="false"/>
    </xf>
    <xf numFmtId="164" fontId="7" fillId="0" borderId="1" xfId="0" applyFont="true" applyBorder="true" applyAlignment="true" applyProtection="false">
      <alignment horizontal="right" vertical="top" textRotation="0" wrapText="true" indent="0" shrinkToFit="false"/>
      <protection locked="true" hidden="false"/>
    </xf>
    <xf numFmtId="165" fontId="7" fillId="0" borderId="1" xfId="0" applyFont="true" applyBorder="true" applyAlignment="true" applyProtection="false">
      <alignment horizontal="right" vertical="top" textRotation="0" wrapText="true" indent="0" shrinkToFit="false"/>
      <protection locked="true" hidden="false"/>
    </xf>
    <xf numFmtId="166" fontId="7" fillId="0" borderId="1" xfId="0" applyFont="true" applyBorder="true" applyAlignment="true" applyProtection="false">
      <alignment horizontal="right" vertical="top" textRotation="0" wrapText="true" indent="0" shrinkToFit="false"/>
      <protection locked="true" hidden="false"/>
    </xf>
    <xf numFmtId="167" fontId="7" fillId="0" borderId="1" xfId="0" applyFont="true" applyBorder="true" applyAlignment="true" applyProtection="false">
      <alignment horizontal="righ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right" vertical="top" textRotation="0" wrapText="true" indent="0" shrinkToFit="false"/>
      <protection locked="true" hidden="false"/>
    </xf>
    <xf numFmtId="165" fontId="7" fillId="3" borderId="1" xfId="0" applyFont="true" applyBorder="true" applyAlignment="true" applyProtection="false">
      <alignment horizontal="right" vertical="top" textRotation="0" wrapText="true" indent="0" shrinkToFit="false"/>
      <protection locked="true" hidden="false"/>
    </xf>
    <xf numFmtId="166" fontId="7" fillId="3" borderId="1" xfId="0" applyFont="true" applyBorder="true" applyAlignment="true" applyProtection="false">
      <alignment horizontal="right" vertical="top" textRotation="0" wrapText="true" indent="0" shrinkToFit="false"/>
      <protection locked="true" hidden="false"/>
    </xf>
    <xf numFmtId="164" fontId="7" fillId="4" borderId="1" xfId="0" applyFont="true" applyBorder="true" applyAlignment="true" applyProtection="false">
      <alignment horizontal="right" vertical="top" textRotation="0" wrapText="true" indent="0" shrinkToFit="false"/>
      <protection locked="true" hidden="false"/>
    </xf>
    <xf numFmtId="165" fontId="7" fillId="4" borderId="1" xfId="0" applyFont="true" applyBorder="true" applyAlignment="true" applyProtection="false">
      <alignment horizontal="right" vertical="top" textRotation="0" wrapText="true" indent="0" shrinkToFit="false"/>
      <protection locked="true" hidden="false"/>
    </xf>
    <xf numFmtId="166" fontId="7" fillId="4" borderId="1" xfId="0" applyFont="true" applyBorder="true" applyAlignment="true" applyProtection="false">
      <alignment horizontal="right" vertical="top" textRotation="0" wrapText="true" indent="0" shrinkToFit="false"/>
      <protection locked="true" hidden="false"/>
    </xf>
    <xf numFmtId="164" fontId="7" fillId="5" borderId="1" xfId="0" applyFont="true" applyBorder="true" applyAlignment="true" applyProtection="false">
      <alignment horizontal="right" vertical="top" textRotation="0" wrapText="true" indent="0" shrinkToFit="false"/>
      <protection locked="true" hidden="false"/>
    </xf>
    <xf numFmtId="165" fontId="7" fillId="5" borderId="1" xfId="0" applyFont="true" applyBorder="true" applyAlignment="true" applyProtection="false">
      <alignment horizontal="right" vertical="top" textRotation="0" wrapText="true" indent="0" shrinkToFit="false"/>
      <protection locked="true" hidden="false"/>
    </xf>
    <xf numFmtId="166" fontId="7" fillId="5" borderId="1" xfId="0" applyFont="true" applyBorder="true" applyAlignment="true" applyProtection="false">
      <alignment horizontal="right" vertical="top" textRotation="0" wrapText="true" indent="0" shrinkToFit="false"/>
      <protection locked="true" hidden="false"/>
    </xf>
    <xf numFmtId="164" fontId="7" fillId="6" borderId="1" xfId="0" applyFont="true" applyBorder="true" applyAlignment="true" applyProtection="false">
      <alignment horizontal="right" vertical="top" textRotation="0" wrapText="true" indent="0" shrinkToFit="false"/>
      <protection locked="true" hidden="false"/>
    </xf>
    <xf numFmtId="165" fontId="7" fillId="6" borderId="1" xfId="0" applyFont="true" applyBorder="true" applyAlignment="true" applyProtection="false">
      <alignment horizontal="right" vertical="top" textRotation="0" wrapText="true" indent="0" shrinkToFit="false"/>
      <protection locked="true" hidden="false"/>
    </xf>
    <xf numFmtId="166" fontId="7" fillId="6" borderId="1" xfId="0" applyFont="true" applyBorder="true" applyAlignment="true" applyProtection="false">
      <alignment horizontal="righ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6BC282"/>
          <bgColor rgb="FF000000"/>
        </patternFill>
      </fill>
    </dxf>
    <dxf>
      <fill>
        <patternFill patternType="solid">
          <fgColor rgb="FF7AC88E"/>
          <bgColor rgb="FF000000"/>
        </patternFill>
      </fill>
    </dxf>
    <dxf>
      <fill>
        <patternFill patternType="solid">
          <fgColor rgb="FF89CE9B"/>
          <bgColor rgb="FF000000"/>
        </patternFill>
      </fill>
    </dxf>
    <dxf>
      <fill>
        <patternFill patternType="solid">
          <fgColor rgb="FF97D4A7"/>
          <bgColor rgb="FF000000"/>
        </patternFill>
      </fill>
    </dxf>
    <dxf>
      <fill>
        <patternFill patternType="solid">
          <fgColor rgb="FFA6DAB4"/>
          <bgColor rgb="FF000000"/>
        </patternFill>
      </fill>
    </dxf>
    <dxf>
      <fill>
        <patternFill patternType="solid">
          <fgColor rgb="FFB5E1C1"/>
          <bgColor rgb="FF000000"/>
        </patternFill>
      </fill>
    </dxf>
    <dxf>
      <fill>
        <patternFill patternType="solid">
          <fgColor rgb="FFBDE4C7"/>
          <bgColor rgb="FF000000"/>
        </patternFill>
      </fill>
    </dxf>
    <dxf>
      <fill>
        <patternFill patternType="solid">
          <fgColor rgb="FFC4E7CD"/>
          <bgColor rgb="FF000000"/>
        </patternFill>
      </fill>
    </dxf>
    <dxf>
      <fill>
        <patternFill patternType="solid">
          <fgColor rgb="FFCBEAD3"/>
          <bgColor rgb="FF000000"/>
        </patternFill>
      </fill>
    </dxf>
    <dxf>
      <fill>
        <patternFill patternType="solid">
          <fgColor rgb="FFD3EDDA"/>
          <bgColor rgb="FF000000"/>
        </patternFill>
      </fill>
    </dxf>
    <dxf>
      <fill>
        <patternFill patternType="solid">
          <fgColor rgb="FFDAF0E0"/>
          <bgColor rgb="FF000000"/>
        </patternFill>
      </fill>
    </dxf>
    <dxf>
      <fill>
        <patternFill patternType="solid">
          <fgColor rgb="FFE2F3E6"/>
          <bgColor rgb="FF000000"/>
        </patternFill>
      </fill>
    </dxf>
    <dxf>
      <fill>
        <patternFill patternType="solid">
          <fgColor rgb="FFE9F6ED"/>
          <bgColor rgb="FF000000"/>
        </patternFill>
      </fill>
    </dxf>
    <dxf>
      <fill>
        <patternFill patternType="solid">
          <fgColor rgb="FFF1F9F3"/>
          <bgColor rgb="FF000000"/>
        </patternFill>
      </fill>
    </dxf>
    <dxf>
      <fill>
        <patternFill patternType="solid">
          <fgColor rgb="FFF8FCF9"/>
          <bgColor rgb="FF000000"/>
        </patternFill>
      </fill>
    </dxf>
    <dxf>
      <fill>
        <patternFill patternType="solid">
          <fgColor rgb="FFFCFEFC"/>
          <bgColor rgb="FF000000"/>
        </patternFill>
      </fill>
    </dxf>
    <dxf>
      <fill>
        <patternFill patternType="solid">
          <fgColor rgb="FFFDC8C9"/>
          <bgColor rgb="FF000000"/>
        </patternFill>
      </fill>
    </dxf>
    <dxf>
      <fill>
        <patternFill patternType="solid">
          <fgColor rgb="FFFED7D7"/>
          <bgColor rgb="FF000000"/>
        </patternFill>
      </fill>
    </dxf>
    <dxf>
      <fill>
        <patternFill patternType="solid">
          <fgColor rgb="FFFEDDDE"/>
          <bgColor rgb="FF000000"/>
        </patternFill>
      </fill>
    </dxf>
    <dxf>
      <fill>
        <patternFill patternType="solid">
          <fgColor rgb="FFFEDFDF"/>
          <bgColor rgb="FF000000"/>
        </patternFill>
      </fill>
    </dxf>
    <dxf>
      <fill>
        <patternFill patternType="solid">
          <fgColor rgb="FFFEE4E5"/>
          <bgColor rgb="FF000000"/>
        </patternFill>
      </fill>
    </dxf>
    <dxf>
      <fill>
        <patternFill patternType="solid">
          <fgColor rgb="FFFEE8E8"/>
          <bgColor rgb="FF000000"/>
        </patternFill>
      </fill>
    </dxf>
    <dxf>
      <fill>
        <patternFill patternType="solid">
          <fgColor rgb="FFFEE9E9"/>
          <bgColor rgb="FF000000"/>
        </patternFill>
      </fill>
    </dxf>
    <dxf>
      <fill>
        <patternFill patternType="solid">
          <fgColor rgb="FFFEEAEA"/>
          <bgColor rgb="FF000000"/>
        </patternFill>
      </fill>
    </dxf>
    <dxf>
      <fill>
        <patternFill patternType="solid">
          <fgColor rgb="FFFFEAEB"/>
          <bgColor rgb="FF000000"/>
        </patternFill>
      </fill>
    </dxf>
    <dxf>
      <fill>
        <patternFill patternType="solid">
          <fgColor rgb="FFFFECED"/>
          <bgColor rgb="FF000000"/>
        </patternFill>
      </fill>
    </dxf>
    <dxf>
      <fill>
        <patternFill patternType="solid">
          <fgColor rgb="FFFFEDED"/>
          <bgColor rgb="FF000000"/>
        </patternFill>
      </fill>
    </dxf>
    <dxf>
      <fill>
        <patternFill patternType="solid">
          <fgColor rgb="FFFFEEEE"/>
          <bgColor rgb="FF000000"/>
        </patternFill>
      </fill>
    </dxf>
    <dxf>
      <fill>
        <patternFill patternType="solid">
          <fgColor rgb="FFFFEEEF"/>
          <bgColor rgb="FF000000"/>
        </patternFill>
      </fill>
    </dxf>
    <dxf>
      <fill>
        <patternFill patternType="solid">
          <fgColor rgb="FFFFEFEF"/>
          <bgColor rgb="FF000000"/>
        </patternFill>
      </fill>
    </dxf>
    <dxf>
      <fill>
        <patternFill patternType="solid">
          <fgColor rgb="FFFFF0F0"/>
          <bgColor rgb="FF000000"/>
        </patternFill>
      </fill>
    </dxf>
    <dxf>
      <fill>
        <patternFill patternType="solid">
          <fgColor rgb="FFFFF1F1"/>
          <bgColor rgb="FF000000"/>
        </patternFill>
      </fill>
    </dxf>
    <dxf>
      <fill>
        <patternFill patternType="solid">
          <fgColor rgb="FFFFF2F2"/>
          <bgColor rgb="FF000000"/>
        </patternFill>
      </fill>
    </dxf>
    <dxf>
      <fill>
        <patternFill patternType="solid">
          <fgColor rgb="FFFFF4F4"/>
          <bgColor rgb="FF000000"/>
        </patternFill>
      </fill>
    </dxf>
    <dxf>
      <fill>
        <patternFill patternType="solid">
          <fgColor rgb="FFFFF5F5"/>
          <bgColor rgb="FF000000"/>
        </patternFill>
      </fill>
    </dxf>
    <dxf>
      <fill>
        <patternFill patternType="solid">
          <fgColor rgb="FFFFF6F6"/>
          <bgColor rgb="FF000000"/>
        </patternFill>
      </fill>
    </dxf>
    <dxf>
      <fill>
        <patternFill patternType="solid">
          <fgColor rgb="FFFFF8F9"/>
          <bgColor rgb="FF000000"/>
        </patternFill>
      </fill>
    </dxf>
    <dxf>
      <fill>
        <patternFill patternType="solid">
          <fgColor rgb="FFFFF9F9"/>
          <bgColor rgb="FF000000"/>
        </patternFill>
      </fill>
    </dxf>
    <dxf>
      <fill>
        <patternFill patternType="solid">
          <fgColor rgb="FFFFF9FA"/>
          <bgColor rgb="FF000000"/>
        </patternFill>
      </fill>
    </dxf>
    <dxf>
      <fill>
        <patternFill patternType="solid">
          <fgColor rgb="FFFFFAFA"/>
          <bgColor rgb="FF000000"/>
        </patternFill>
      </fill>
    </dxf>
    <dxf>
      <fill>
        <patternFill patternType="solid">
          <fgColor rgb="FFFFFBFB"/>
          <bgColor rgb="FF000000"/>
        </patternFill>
      </fill>
    </dxf>
    <dxf>
      <fill>
        <patternFill patternType="solid">
          <fgColor rgb="FFFFFCFC"/>
          <bgColor rgb="FF000000"/>
        </patternFill>
      </fill>
    </dxf>
    <dxf>
      <fill>
        <patternFill patternType="solid">
          <fgColor rgb="FFFFFDFD"/>
          <bgColor rgb="FF000000"/>
        </patternFill>
      </fill>
    </dxf>
    <dxf>
      <fill>
        <patternFill patternType="solid">
          <fgColor rgb="FFFFFEFE"/>
          <bgColor rgb="FF000000"/>
        </patternFill>
      </fill>
    </dxf>
    <dxf>
      <fill>
        <patternFill patternType="solid">
          <fgColor rgb="FFF8696B"/>
          <bgColor rgb="FF000000"/>
        </patternFill>
      </fill>
    </dxf>
    <dxf>
      <fill>
        <patternFill patternType="solid">
          <fgColor rgb="FFF96C6E"/>
          <bgColor rgb="FF000000"/>
        </patternFill>
      </fill>
    </dxf>
    <dxf>
      <fill>
        <patternFill patternType="solid">
          <fgColor rgb="FFF97071"/>
          <bgColor rgb="FF000000"/>
        </patternFill>
      </fill>
    </dxf>
    <dxf>
      <fill>
        <patternFill patternType="solid">
          <fgColor rgb="FFF97D7F"/>
          <bgColor rgb="FF000000"/>
        </patternFill>
      </fill>
    </dxf>
    <dxf>
      <fill>
        <patternFill patternType="solid">
          <fgColor rgb="FFF97E7F"/>
          <bgColor rgb="FF000000"/>
        </patternFill>
      </fill>
    </dxf>
    <dxf>
      <fill>
        <patternFill patternType="solid">
          <fgColor rgb="FFFA8385"/>
          <bgColor rgb="FF000000"/>
        </patternFill>
      </fill>
    </dxf>
    <dxf>
      <fill>
        <patternFill patternType="solid">
          <fgColor rgb="FFFA8889"/>
          <bgColor rgb="FF000000"/>
        </patternFill>
      </fill>
    </dxf>
    <dxf>
      <fill>
        <patternFill patternType="solid">
          <fgColor rgb="FFFA898A"/>
          <bgColor rgb="FF000000"/>
        </patternFill>
      </fill>
    </dxf>
    <dxf>
      <fill>
        <patternFill patternType="solid">
          <fgColor rgb="FFFA8D8E"/>
          <bgColor rgb="FF000000"/>
        </patternFill>
      </fill>
    </dxf>
    <dxf>
      <fill>
        <patternFill patternType="solid">
          <fgColor rgb="FFFA8D8F"/>
          <bgColor rgb="FF000000"/>
        </patternFill>
      </fill>
    </dxf>
    <dxf>
      <fill>
        <patternFill patternType="solid">
          <fgColor rgb="FFFA8E8F"/>
          <bgColor rgb="FF000000"/>
        </patternFill>
      </fill>
    </dxf>
    <dxf>
      <fill>
        <patternFill patternType="solid">
          <fgColor rgb="FFFA9496"/>
          <bgColor rgb="FF000000"/>
        </patternFill>
      </fill>
    </dxf>
    <dxf>
      <fill>
        <patternFill patternType="solid">
          <fgColor rgb="FFFB9B9C"/>
          <bgColor rgb="FF000000"/>
        </patternFill>
      </fill>
    </dxf>
    <dxf>
      <fill>
        <patternFill patternType="solid">
          <fgColor rgb="FFFB9D9E"/>
          <bgColor rgb="FF000000"/>
        </patternFill>
      </fill>
    </dxf>
    <dxf>
      <fill>
        <patternFill patternType="solid">
          <fgColor rgb="FFFB9E9F"/>
          <bgColor rgb="FF000000"/>
        </patternFill>
      </fill>
    </dxf>
    <dxf>
      <fill>
        <patternFill patternType="solid">
          <fgColor rgb="FFFB9EA0"/>
          <bgColor rgb="FF000000"/>
        </patternFill>
      </fill>
    </dxf>
    <dxf>
      <fill>
        <patternFill patternType="solid">
          <fgColor rgb="FFFB9FA0"/>
          <bgColor rgb="FF000000"/>
        </patternFill>
      </fill>
    </dxf>
    <dxf>
      <fill>
        <patternFill patternType="solid">
          <fgColor rgb="FFFBA1A2"/>
          <bgColor rgb="FF000000"/>
        </patternFill>
      </fill>
    </dxf>
    <dxf>
      <fill>
        <patternFill patternType="solid">
          <fgColor rgb="FFFBA5A7"/>
          <bgColor rgb="FF000000"/>
        </patternFill>
      </fill>
    </dxf>
    <dxf>
      <fill>
        <patternFill patternType="solid">
          <fgColor rgb="FFFCABAC"/>
          <bgColor rgb="FF000000"/>
        </patternFill>
      </fill>
    </dxf>
    <dxf>
      <fill>
        <patternFill patternType="solid">
          <fgColor rgb="FFFCACAE"/>
          <bgColor rgb="FF000000"/>
        </patternFill>
      </fill>
    </dxf>
    <dxf>
      <fill>
        <patternFill patternType="solid">
          <fgColor rgb="FFFCADAE"/>
          <bgColor rgb="FF000000"/>
        </patternFill>
      </fill>
    </dxf>
    <dxf>
      <fill>
        <patternFill patternType="solid">
          <fgColor rgb="FFFCAEAF"/>
          <bgColor rgb="FF000000"/>
        </patternFill>
      </fill>
    </dxf>
    <dxf>
      <fill>
        <patternFill patternType="solid">
          <fgColor rgb="FFFCB1B2"/>
          <bgColor rgb="FF000000"/>
        </patternFill>
      </fill>
    </dxf>
    <dxf>
      <fill>
        <patternFill patternType="solid">
          <fgColor rgb="FFFCB7B8"/>
          <bgColor rgb="FF000000"/>
        </patternFill>
      </fill>
    </dxf>
    <dxf>
      <fill>
        <patternFill patternType="solid">
          <fgColor rgb="FFFCBCBD"/>
          <bgColor rgb="FF000000"/>
        </patternFill>
      </fill>
    </dxf>
    <dxf>
      <fill>
        <patternFill patternType="solid">
          <fgColor rgb="FFFCBDBE"/>
          <bgColor rgb="FF000000"/>
        </patternFill>
      </fill>
    </dxf>
    <dxf>
      <fill>
        <patternFill patternType="solid">
          <fgColor rgb="FFFDC0C1"/>
          <bgColor rgb="FF000000"/>
        </patternFill>
      </fill>
    </dxf>
    <dxf>
      <fill>
        <patternFill patternType="solid">
          <fgColor rgb="FFFDC7C8"/>
          <bgColor rgb="FF000000"/>
        </patternFill>
      </fill>
    </dxf>
    <dxf>
      <fill>
        <patternFill patternType="solid">
          <fgColor rgb="FFFDC9CA"/>
          <bgColor rgb="FF000000"/>
        </patternFill>
      </fill>
    </dxf>
    <dxf>
      <fill>
        <patternFill patternType="solid">
          <fgColor rgb="FFFDCCCD"/>
          <bgColor rgb="FF000000"/>
        </patternFill>
      </fill>
    </dxf>
    <dxf>
      <fill>
        <patternFill patternType="solid">
          <fgColor rgb="FFFDD1D2"/>
          <bgColor rgb="FF000000"/>
        </patternFill>
      </fill>
    </dxf>
    <dxf>
      <fill>
        <patternFill patternType="solid">
          <fgColor rgb="FFFEDAD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2E75B6"/>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18"/>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6" customFormat="false" ht="15" hidden="false" customHeight="false" outlineLevel="0" collapsed="false">
      <c r="A6" s="4"/>
    </row>
    <row r="7" customFormat="false" ht="15" hidden="false" customHeight="false" outlineLevel="0" collapsed="false">
      <c r="A7" s="5" t="s">
        <v>4</v>
      </c>
    </row>
    <row r="8" customFormat="false" ht="1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row>
    <row r="14" customFormat="false" ht="23.85" hidden="false" customHeight="false" outlineLevel="0" collapsed="false">
      <c r="A14" s="4" t="s">
        <v>10</v>
      </c>
    </row>
    <row r="15" customFormat="false" ht="15" hidden="false" customHeight="false" outlineLevel="0" collapsed="false">
      <c r="A15" s="4" t="s">
        <v>11</v>
      </c>
    </row>
    <row r="16" customFormat="false" ht="15" hidden="false" customHeight="false" outlineLevel="0" collapsed="false">
      <c r="A16" s="4" t="s">
        <v>12</v>
      </c>
    </row>
    <row r="17" customFormat="false" ht="15" hidden="false" customHeight="false" outlineLevel="0" collapsed="false">
      <c r="A17" s="4"/>
    </row>
    <row r="18" customFormat="false" ht="15" hidden="false" customHeight="false" outlineLevel="0" collapsed="false">
      <c r="A18" s="6"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1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2"/>
    <col collapsed="false" customWidth="true" hidden="false" outlineLevel="0" max="7" min="4" style="0" width="10"/>
    <col collapsed="false" customWidth="true" hidden="false" outlineLevel="0" max="10" min="8" style="0" width="12"/>
    <col collapsed="false" customWidth="true" hidden="false" outlineLevel="0" max="11" min="11" style="0" width="16"/>
  </cols>
  <sheetData>
    <row r="1" customFormat="false" ht="17.15" hidden="false" customHeight="false" outlineLevel="0" collapsed="false">
      <c r="A1" s="7" t="s">
        <v>14</v>
      </c>
    </row>
    <row r="2" customFormat="false" ht="45" hidden="false" customHeight="true" outlineLevel="0" collapsed="false">
      <c r="A2" s="8" t="s">
        <v>15</v>
      </c>
      <c r="B2" s="8"/>
      <c r="C2" s="8"/>
      <c r="D2" s="8"/>
      <c r="E2" s="8"/>
      <c r="F2" s="8"/>
      <c r="G2" s="8"/>
      <c r="H2" s="8"/>
      <c r="I2" s="8"/>
      <c r="J2" s="8"/>
      <c r="K2" s="8"/>
    </row>
    <row r="4" customFormat="false" ht="52.2" hidden="false" customHeight="false" outlineLevel="0" collapsed="false">
      <c r="A4" s="9" t="s">
        <v>16</v>
      </c>
      <c r="B4" s="9" t="s">
        <v>17</v>
      </c>
      <c r="C4" s="9" t="s">
        <v>18</v>
      </c>
      <c r="D4" s="9" t="s">
        <v>19</v>
      </c>
      <c r="E4" s="9" t="s">
        <v>20</v>
      </c>
      <c r="F4" s="9" t="s">
        <v>21</v>
      </c>
      <c r="G4" s="9" t="s">
        <v>22</v>
      </c>
      <c r="H4" s="9" t="s">
        <v>23</v>
      </c>
      <c r="I4" s="9" t="s">
        <v>24</v>
      </c>
      <c r="J4" s="9" t="s">
        <v>25</v>
      </c>
      <c r="K4" s="9" t="s">
        <v>26</v>
      </c>
    </row>
    <row r="5" customFormat="false" ht="15" hidden="false" customHeight="false" outlineLevel="0" collapsed="false">
      <c r="A5" s="10" t="s">
        <v>27</v>
      </c>
      <c r="B5" s="10" t="s">
        <v>28</v>
      </c>
      <c r="C5" s="10" t="s">
        <v>29</v>
      </c>
      <c r="D5" s="11" t="n">
        <v>55000</v>
      </c>
      <c r="E5" s="10" t="s">
        <v>30</v>
      </c>
      <c r="F5" s="10" t="s">
        <v>30</v>
      </c>
      <c r="G5" s="10" t="s">
        <v>31</v>
      </c>
      <c r="H5" s="12" t="n">
        <v>0.06</v>
      </c>
      <c r="I5" s="13" t="n">
        <v>1.56</v>
      </c>
      <c r="J5" s="13" t="n">
        <v>5.71</v>
      </c>
      <c r="K5" s="10" t="s">
        <v>32</v>
      </c>
    </row>
    <row r="6" customFormat="false" ht="15" hidden="false" customHeight="false" outlineLevel="0" collapsed="false">
      <c r="A6" s="10" t="s">
        <v>33</v>
      </c>
      <c r="B6" s="10" t="s">
        <v>34</v>
      </c>
      <c r="C6" s="10" t="s">
        <v>29</v>
      </c>
      <c r="D6" s="11" t="n">
        <v>55000</v>
      </c>
      <c r="E6" s="10" t="s">
        <v>30</v>
      </c>
      <c r="F6" s="10" t="s">
        <v>30</v>
      </c>
      <c r="G6" s="10" t="s">
        <v>31</v>
      </c>
      <c r="H6" s="12" t="n">
        <v>0.02</v>
      </c>
      <c r="I6" s="13" t="n">
        <v>1.15</v>
      </c>
      <c r="J6" s="13" t="n">
        <v>5.82</v>
      </c>
      <c r="K6" s="10" t="s">
        <v>35</v>
      </c>
    </row>
    <row r="7" customFormat="false" ht="15" hidden="false" customHeight="false" outlineLevel="0" collapsed="false">
      <c r="A7" s="10" t="s">
        <v>36</v>
      </c>
      <c r="B7" s="10" t="s">
        <v>37</v>
      </c>
      <c r="C7" s="10" t="s">
        <v>29</v>
      </c>
      <c r="D7" s="11" t="n">
        <v>55000</v>
      </c>
      <c r="E7" s="10" t="s">
        <v>30</v>
      </c>
      <c r="F7" s="10" t="s">
        <v>30</v>
      </c>
      <c r="G7" s="10" t="s">
        <v>31</v>
      </c>
      <c r="H7" s="12" t="n">
        <v>0.005</v>
      </c>
      <c r="I7" s="13"/>
      <c r="J7" s="13"/>
      <c r="K7" s="10" t="s">
        <v>35</v>
      </c>
    </row>
    <row r="8" customFormat="false" ht="15" hidden="false" customHeight="false" outlineLevel="0" collapsed="false">
      <c r="A8" s="10" t="s">
        <v>38</v>
      </c>
      <c r="B8" s="10" t="s">
        <v>39</v>
      </c>
      <c r="C8" s="10" t="s">
        <v>40</v>
      </c>
      <c r="D8" s="11" t="n">
        <v>5500</v>
      </c>
      <c r="E8" s="10" t="s">
        <v>30</v>
      </c>
      <c r="F8" s="10" t="s">
        <v>30</v>
      </c>
      <c r="G8" s="10" t="s">
        <v>41</v>
      </c>
      <c r="H8" s="12" t="n">
        <v>0.05</v>
      </c>
      <c r="I8" s="13" t="n">
        <v>1.18</v>
      </c>
      <c r="J8" s="13" t="n">
        <v>5.86</v>
      </c>
      <c r="K8" s="10" t="s">
        <v>42</v>
      </c>
    </row>
    <row r="9" customFormat="false" ht="15" hidden="false" customHeight="false" outlineLevel="0" collapsed="false">
      <c r="A9" s="10" t="s">
        <v>43</v>
      </c>
      <c r="B9" s="10" t="s">
        <v>28</v>
      </c>
      <c r="C9" s="10" t="s">
        <v>40</v>
      </c>
      <c r="D9" s="11" t="n">
        <v>5500</v>
      </c>
      <c r="E9" s="10" t="s">
        <v>30</v>
      </c>
      <c r="F9" s="10" t="s">
        <v>30</v>
      </c>
      <c r="G9" s="10" t="s">
        <v>31</v>
      </c>
      <c r="H9" s="12" t="n">
        <v>0.05</v>
      </c>
      <c r="I9" s="13"/>
      <c r="J9" s="13"/>
      <c r="K9" s="10" t="s">
        <v>42</v>
      </c>
    </row>
    <row r="10" customFormat="false" ht="15" hidden="false" customHeight="false" outlineLevel="0" collapsed="false">
      <c r="A10" s="10" t="s">
        <v>44</v>
      </c>
      <c r="B10" s="10" t="s">
        <v>39</v>
      </c>
      <c r="C10" s="10" t="s">
        <v>40</v>
      </c>
      <c r="D10" s="11" t="n">
        <v>5500</v>
      </c>
      <c r="E10" s="10" t="s">
        <v>30</v>
      </c>
      <c r="F10" s="10" t="s">
        <v>30</v>
      </c>
      <c r="G10" s="10" t="s">
        <v>41</v>
      </c>
      <c r="H10" s="12" t="n">
        <v>0.04</v>
      </c>
      <c r="I10" s="13" t="n">
        <v>1.37</v>
      </c>
      <c r="J10" s="13" t="n">
        <v>5.78</v>
      </c>
      <c r="K10" s="10" t="s">
        <v>42</v>
      </c>
    </row>
    <row r="11" customFormat="false" ht="15" hidden="false" customHeight="false" outlineLevel="0" collapsed="false">
      <c r="A11" s="10" t="s">
        <v>45</v>
      </c>
      <c r="B11" s="10" t="s">
        <v>34</v>
      </c>
      <c r="C11" s="10" t="s">
        <v>40</v>
      </c>
      <c r="D11" s="11" t="n">
        <v>5500</v>
      </c>
      <c r="E11" s="10" t="s">
        <v>30</v>
      </c>
      <c r="F11" s="10" t="s">
        <v>30</v>
      </c>
      <c r="G11" s="10" t="s">
        <v>41</v>
      </c>
      <c r="H11" s="12" t="n">
        <v>0.04</v>
      </c>
      <c r="I11" s="13" t="n">
        <v>1.39</v>
      </c>
      <c r="J11" s="13" t="n">
        <v>5</v>
      </c>
      <c r="K11" s="10" t="s">
        <v>46</v>
      </c>
    </row>
    <row r="12" customFormat="false" ht="15" hidden="false" customHeight="false" outlineLevel="0" collapsed="false">
      <c r="A12" s="10" t="s">
        <v>47</v>
      </c>
      <c r="B12" s="10" t="s">
        <v>48</v>
      </c>
      <c r="C12" s="10" t="s">
        <v>40</v>
      </c>
      <c r="D12" s="11" t="n">
        <v>5500</v>
      </c>
      <c r="E12" s="10" t="s">
        <v>30</v>
      </c>
      <c r="F12" s="10" t="s">
        <v>30</v>
      </c>
      <c r="G12" s="10" t="s">
        <v>31</v>
      </c>
      <c r="H12" s="12" t="n">
        <v>0.03</v>
      </c>
      <c r="I12" s="13" t="n">
        <v>0.88</v>
      </c>
      <c r="J12" s="13" t="n">
        <v>4.24</v>
      </c>
      <c r="K12" s="10" t="s">
        <v>42</v>
      </c>
    </row>
    <row r="13" customFormat="false" ht="15" hidden="false" customHeight="false" outlineLevel="0" collapsed="false">
      <c r="A13" s="10" t="s">
        <v>49</v>
      </c>
      <c r="B13" s="10" t="s">
        <v>28</v>
      </c>
      <c r="C13" s="10" t="s">
        <v>40</v>
      </c>
      <c r="D13" s="11" t="n">
        <v>5500</v>
      </c>
      <c r="E13" s="10" t="s">
        <v>30</v>
      </c>
      <c r="F13" s="10" t="s">
        <v>30</v>
      </c>
      <c r="G13" s="10" t="s">
        <v>31</v>
      </c>
      <c r="H13" s="12" t="n">
        <v>0.02</v>
      </c>
      <c r="I13" s="13" t="n">
        <v>1.71</v>
      </c>
      <c r="J13" s="13" t="n">
        <v>4.85</v>
      </c>
      <c r="K13" s="10" t="s">
        <v>42</v>
      </c>
    </row>
    <row r="14" customFormat="false" ht="15" hidden="false" customHeight="false" outlineLevel="0" collapsed="false">
      <c r="A14" s="10" t="s">
        <v>50</v>
      </c>
      <c r="B14" s="10" t="s">
        <v>34</v>
      </c>
      <c r="C14" s="10" t="s">
        <v>40</v>
      </c>
      <c r="D14" s="11" t="n">
        <v>5500</v>
      </c>
      <c r="E14" s="10" t="s">
        <v>30</v>
      </c>
      <c r="F14" s="10" t="s">
        <v>30</v>
      </c>
      <c r="G14" s="10" t="s">
        <v>31</v>
      </c>
      <c r="H14" s="12" t="n">
        <v>0.02</v>
      </c>
      <c r="I14" s="13" t="n">
        <v>1.34</v>
      </c>
      <c r="J14" s="13" t="n">
        <v>4.86</v>
      </c>
      <c r="K14" s="10" t="s">
        <v>51</v>
      </c>
    </row>
    <row r="15" customFormat="false" ht="15" hidden="false" customHeight="false" outlineLevel="0" collapsed="false">
      <c r="A15" s="10" t="s">
        <v>52</v>
      </c>
      <c r="B15" s="10" t="s">
        <v>28</v>
      </c>
      <c r="C15" s="10" t="s">
        <v>40</v>
      </c>
      <c r="D15" s="11" t="n">
        <v>5500</v>
      </c>
      <c r="E15" s="10" t="s">
        <v>53</v>
      </c>
      <c r="F15" s="10" t="s">
        <v>30</v>
      </c>
      <c r="G15" s="10" t="s">
        <v>31</v>
      </c>
      <c r="H15" s="12" t="n">
        <v>0.01</v>
      </c>
      <c r="I15" s="13" t="n">
        <v>1.32</v>
      </c>
      <c r="J15" s="13" t="n">
        <v>4.87</v>
      </c>
      <c r="K15" s="10" t="s">
        <v>42</v>
      </c>
    </row>
    <row r="16" customFormat="false" ht="15" hidden="false" customHeight="false" outlineLevel="0" collapsed="false">
      <c r="A16" s="10" t="s">
        <v>54</v>
      </c>
      <c r="B16" s="10" t="s">
        <v>34</v>
      </c>
      <c r="C16" s="10" t="s">
        <v>40</v>
      </c>
      <c r="D16" s="11" t="n">
        <v>5500</v>
      </c>
      <c r="E16" s="10" t="s">
        <v>30</v>
      </c>
      <c r="F16" s="10" t="s">
        <v>30</v>
      </c>
      <c r="G16" s="10" t="s">
        <v>31</v>
      </c>
      <c r="H16" s="12"/>
      <c r="I16" s="13" t="n">
        <v>2</v>
      </c>
      <c r="J16" s="13" t="n">
        <v>6.98</v>
      </c>
      <c r="K16" s="10" t="s">
        <v>46</v>
      </c>
    </row>
    <row r="17" customFormat="false" ht="15" hidden="false" customHeight="false" outlineLevel="0" collapsed="false">
      <c r="A17" s="10" t="s">
        <v>55</v>
      </c>
      <c r="B17" s="10" t="s">
        <v>37</v>
      </c>
      <c r="C17" s="10" t="s">
        <v>56</v>
      </c>
      <c r="D17" s="11" t="n">
        <v>550</v>
      </c>
      <c r="E17" s="10" t="s">
        <v>30</v>
      </c>
      <c r="F17" s="10" t="s">
        <v>30</v>
      </c>
      <c r="G17" s="10" t="s">
        <v>41</v>
      </c>
      <c r="H17" s="12" t="n">
        <v>0.21</v>
      </c>
      <c r="I17" s="13" t="n">
        <v>1.37</v>
      </c>
      <c r="J17" s="13" t="n">
        <v>5.46</v>
      </c>
      <c r="K17" s="10" t="s">
        <v>42</v>
      </c>
    </row>
    <row r="18" customFormat="false" ht="15" hidden="false" customHeight="false" outlineLevel="0" collapsed="false">
      <c r="A18" s="10" t="s">
        <v>57</v>
      </c>
      <c r="B18" s="10" t="s">
        <v>37</v>
      </c>
      <c r="C18" s="10" t="s">
        <v>56</v>
      </c>
      <c r="D18" s="11" t="n">
        <v>550</v>
      </c>
      <c r="E18" s="10" t="s">
        <v>30</v>
      </c>
      <c r="F18" s="10" t="s">
        <v>30</v>
      </c>
      <c r="G18" s="10" t="s">
        <v>41</v>
      </c>
      <c r="H18" s="12" t="n">
        <v>0.21</v>
      </c>
      <c r="I18" s="13" t="n">
        <v>1.37</v>
      </c>
      <c r="J18" s="13" t="n">
        <v>5.46</v>
      </c>
      <c r="K18" s="10" t="s">
        <v>42</v>
      </c>
    </row>
    <row r="19" customFormat="false" ht="15" hidden="false" customHeight="false" outlineLevel="0" collapsed="false">
      <c r="A19" s="10" t="s">
        <v>58</v>
      </c>
      <c r="B19" s="10" t="s">
        <v>39</v>
      </c>
      <c r="C19" s="10" t="s">
        <v>56</v>
      </c>
      <c r="D19" s="11" t="n">
        <v>550</v>
      </c>
      <c r="E19" s="10" t="s">
        <v>30</v>
      </c>
      <c r="F19" s="10" t="s">
        <v>59</v>
      </c>
      <c r="G19" s="10" t="s">
        <v>41</v>
      </c>
      <c r="H19" s="12" t="n">
        <v>0.14</v>
      </c>
      <c r="I19" s="13" t="n">
        <v>2.52</v>
      </c>
      <c r="J19" s="13" t="n">
        <v>7.55</v>
      </c>
      <c r="K19" s="10" t="s">
        <v>42</v>
      </c>
    </row>
    <row r="20" customFormat="false" ht="15" hidden="false" customHeight="false" outlineLevel="0" collapsed="false">
      <c r="A20" s="10" t="s">
        <v>60</v>
      </c>
      <c r="B20" s="10" t="s">
        <v>39</v>
      </c>
      <c r="C20" s="10" t="s">
        <v>56</v>
      </c>
      <c r="D20" s="11" t="n">
        <v>550</v>
      </c>
      <c r="E20" s="10" t="s">
        <v>30</v>
      </c>
      <c r="F20" s="10" t="s">
        <v>30</v>
      </c>
      <c r="G20" s="10" t="s">
        <v>41</v>
      </c>
      <c r="H20" s="12" t="n">
        <v>0.09</v>
      </c>
      <c r="I20" s="13" t="n">
        <v>1.96</v>
      </c>
      <c r="J20" s="13" t="n">
        <v>6.34</v>
      </c>
      <c r="K20" s="10" t="s">
        <v>42</v>
      </c>
    </row>
    <row r="21" customFormat="false" ht="15" hidden="false" customHeight="false" outlineLevel="0" collapsed="false">
      <c r="A21" s="10" t="s">
        <v>61</v>
      </c>
      <c r="B21" s="10" t="s">
        <v>28</v>
      </c>
      <c r="C21" s="10" t="s">
        <v>56</v>
      </c>
      <c r="D21" s="11" t="n">
        <v>550</v>
      </c>
      <c r="E21" s="10" t="s">
        <v>30</v>
      </c>
      <c r="F21" s="10" t="s">
        <v>30</v>
      </c>
      <c r="G21" s="10" t="s">
        <v>31</v>
      </c>
      <c r="H21" s="12" t="n">
        <v>0.07</v>
      </c>
      <c r="I21" s="13" t="n">
        <v>1.69</v>
      </c>
      <c r="J21" s="13" t="n">
        <v>6.72</v>
      </c>
      <c r="K21" s="10" t="s">
        <v>42</v>
      </c>
    </row>
    <row r="22" customFormat="false" ht="15" hidden="false" customHeight="false" outlineLevel="0" collapsed="false">
      <c r="A22" s="10" t="s">
        <v>62</v>
      </c>
      <c r="B22" s="10" t="s">
        <v>39</v>
      </c>
      <c r="C22" s="10" t="s">
        <v>56</v>
      </c>
      <c r="D22" s="11" t="n">
        <v>550</v>
      </c>
      <c r="E22" s="10" t="s">
        <v>30</v>
      </c>
      <c r="F22" s="10" t="s">
        <v>30</v>
      </c>
      <c r="G22" s="10" t="s">
        <v>41</v>
      </c>
      <c r="H22" s="12" t="n">
        <v>0.05</v>
      </c>
      <c r="I22" s="13" t="n">
        <v>2.52</v>
      </c>
      <c r="J22" s="13" t="n">
        <v>8.41</v>
      </c>
      <c r="K22" s="10" t="s">
        <v>42</v>
      </c>
    </row>
    <row r="23" customFormat="false" ht="15" hidden="false" customHeight="false" outlineLevel="0" collapsed="false">
      <c r="A23" s="10" t="s">
        <v>63</v>
      </c>
      <c r="B23" s="10" t="s">
        <v>34</v>
      </c>
      <c r="C23" s="10" t="s">
        <v>56</v>
      </c>
      <c r="D23" s="11" t="n">
        <v>550</v>
      </c>
      <c r="E23" s="10" t="s">
        <v>30</v>
      </c>
      <c r="F23" s="10" t="s">
        <v>30</v>
      </c>
      <c r="G23" s="10" t="s">
        <v>31</v>
      </c>
      <c r="H23" s="12" t="n">
        <v>0.05</v>
      </c>
      <c r="I23" s="13" t="n">
        <v>0.91</v>
      </c>
      <c r="J23" s="13" t="n">
        <v>2.77</v>
      </c>
      <c r="K23" s="10" t="s">
        <v>51</v>
      </c>
    </row>
    <row r="24" customFormat="false" ht="15" hidden="false" customHeight="false" outlineLevel="0" collapsed="false">
      <c r="A24" s="10" t="s">
        <v>64</v>
      </c>
      <c r="B24" s="10" t="s">
        <v>34</v>
      </c>
      <c r="C24" s="10" t="s">
        <v>56</v>
      </c>
      <c r="D24" s="11" t="n">
        <v>550</v>
      </c>
      <c r="E24" s="10" t="s">
        <v>30</v>
      </c>
      <c r="F24" s="10" t="s">
        <v>30</v>
      </c>
      <c r="G24" s="10" t="s">
        <v>31</v>
      </c>
      <c r="H24" s="12" t="n">
        <v>0.05</v>
      </c>
      <c r="I24" s="13" t="n">
        <v>0.91</v>
      </c>
      <c r="J24" s="13" t="n">
        <v>2.77</v>
      </c>
      <c r="K24" s="10" t="s">
        <v>51</v>
      </c>
    </row>
    <row r="25" customFormat="false" ht="15" hidden="false" customHeight="false" outlineLevel="0" collapsed="false">
      <c r="A25" s="10" t="s">
        <v>65</v>
      </c>
      <c r="B25" s="10" t="s">
        <v>34</v>
      </c>
      <c r="C25" s="10" t="s">
        <v>56</v>
      </c>
      <c r="D25" s="11" t="n">
        <v>550</v>
      </c>
      <c r="E25" s="10" t="s">
        <v>30</v>
      </c>
      <c r="F25" s="10" t="s">
        <v>30</v>
      </c>
      <c r="G25" s="10" t="s">
        <v>31</v>
      </c>
      <c r="H25" s="12" t="n">
        <v>0.05</v>
      </c>
      <c r="I25" s="13" t="n">
        <v>0.91</v>
      </c>
      <c r="J25" s="13" t="n">
        <v>2.77</v>
      </c>
      <c r="K25" s="10" t="s">
        <v>51</v>
      </c>
    </row>
    <row r="26" customFormat="false" ht="15" hidden="false" customHeight="false" outlineLevel="0" collapsed="false">
      <c r="A26" s="10" t="s">
        <v>66</v>
      </c>
      <c r="B26" s="10" t="s">
        <v>39</v>
      </c>
      <c r="C26" s="10" t="s">
        <v>56</v>
      </c>
      <c r="D26" s="11" t="n">
        <v>550</v>
      </c>
      <c r="E26" s="10" t="s">
        <v>30</v>
      </c>
      <c r="F26" s="10" t="s">
        <v>30</v>
      </c>
      <c r="G26" s="10" t="s">
        <v>41</v>
      </c>
      <c r="H26" s="12" t="n">
        <v>0.04</v>
      </c>
      <c r="I26" s="13" t="n">
        <v>2.03</v>
      </c>
      <c r="J26" s="13" t="n">
        <v>7.51</v>
      </c>
      <c r="K26" s="10" t="s">
        <v>42</v>
      </c>
    </row>
    <row r="27" customFormat="false" ht="15" hidden="false" customHeight="false" outlineLevel="0" collapsed="false">
      <c r="A27" s="10" t="s">
        <v>67</v>
      </c>
      <c r="B27" s="10" t="s">
        <v>48</v>
      </c>
      <c r="C27" s="10" t="s">
        <v>56</v>
      </c>
      <c r="D27" s="11" t="n">
        <v>550</v>
      </c>
      <c r="E27" s="10" t="s">
        <v>30</v>
      </c>
      <c r="F27" s="10" t="s">
        <v>53</v>
      </c>
      <c r="G27" s="10" t="s">
        <v>31</v>
      </c>
      <c r="H27" s="12" t="n">
        <v>0.03</v>
      </c>
      <c r="I27" s="13" t="n">
        <v>0.99</v>
      </c>
      <c r="J27" s="13" t="n">
        <v>4.87</v>
      </c>
      <c r="K27" s="10" t="s">
        <v>42</v>
      </c>
    </row>
    <row r="28" customFormat="false" ht="15" hidden="false" customHeight="false" outlineLevel="0" collapsed="false">
      <c r="A28" s="10" t="s">
        <v>68</v>
      </c>
      <c r="B28" s="10" t="s">
        <v>28</v>
      </c>
      <c r="C28" s="10" t="s">
        <v>56</v>
      </c>
      <c r="D28" s="11" t="n">
        <v>550</v>
      </c>
      <c r="E28" s="10" t="s">
        <v>30</v>
      </c>
      <c r="F28" s="10" t="s">
        <v>30</v>
      </c>
      <c r="G28" s="10" t="s">
        <v>31</v>
      </c>
      <c r="H28" s="12" t="n">
        <v>0.03</v>
      </c>
      <c r="I28" s="13" t="n">
        <v>1.41</v>
      </c>
      <c r="J28" s="13" t="n">
        <v>3.72</v>
      </c>
      <c r="K28" s="10" t="s">
        <v>42</v>
      </c>
    </row>
    <row r="29" customFormat="false" ht="15" hidden="false" customHeight="false" outlineLevel="0" collapsed="false">
      <c r="A29" s="10" t="s">
        <v>69</v>
      </c>
      <c r="B29" s="10" t="s">
        <v>48</v>
      </c>
      <c r="C29" s="10" t="s">
        <v>56</v>
      </c>
      <c r="D29" s="11" t="n">
        <v>550</v>
      </c>
      <c r="E29" s="10" t="s">
        <v>30</v>
      </c>
      <c r="F29" s="10" t="s">
        <v>30</v>
      </c>
      <c r="G29" s="10" t="s">
        <v>41</v>
      </c>
      <c r="H29" s="12" t="n">
        <v>0.02</v>
      </c>
      <c r="I29" s="13" t="n">
        <v>1.04</v>
      </c>
      <c r="J29" s="13" t="n">
        <v>3.63</v>
      </c>
      <c r="K29" s="10" t="s">
        <v>42</v>
      </c>
    </row>
    <row r="30" customFormat="false" ht="15" hidden="false" customHeight="false" outlineLevel="0" collapsed="false">
      <c r="A30" s="10" t="s">
        <v>70</v>
      </c>
      <c r="B30" s="10" t="s">
        <v>39</v>
      </c>
      <c r="C30" s="10" t="s">
        <v>56</v>
      </c>
      <c r="D30" s="11" t="n">
        <v>550</v>
      </c>
      <c r="E30" s="10" t="s">
        <v>30</v>
      </c>
      <c r="F30" s="10" t="s">
        <v>30</v>
      </c>
      <c r="G30" s="10" t="s">
        <v>41</v>
      </c>
      <c r="H30" s="12" t="n">
        <v>0.02</v>
      </c>
      <c r="I30" s="13" t="n">
        <v>1.62</v>
      </c>
      <c r="J30" s="13" t="n">
        <v>7.22</v>
      </c>
      <c r="K30" s="10" t="s">
        <v>42</v>
      </c>
    </row>
    <row r="31" customFormat="false" ht="15" hidden="false" customHeight="false" outlineLevel="0" collapsed="false">
      <c r="A31" s="10" t="s">
        <v>71</v>
      </c>
      <c r="B31" s="10" t="s">
        <v>48</v>
      </c>
      <c r="C31" s="10" t="s">
        <v>56</v>
      </c>
      <c r="D31" s="11" t="n">
        <v>550</v>
      </c>
      <c r="E31" s="10" t="s">
        <v>53</v>
      </c>
      <c r="F31" s="10" t="s">
        <v>53</v>
      </c>
      <c r="G31" s="10" t="s">
        <v>41</v>
      </c>
      <c r="H31" s="12" t="n">
        <v>0.02</v>
      </c>
      <c r="I31" s="13"/>
      <c r="J31" s="13"/>
      <c r="K31" s="10" t="s">
        <v>42</v>
      </c>
    </row>
    <row r="32" customFormat="false" ht="15" hidden="false" customHeight="false" outlineLevel="0" collapsed="false">
      <c r="A32" s="10" t="s">
        <v>72</v>
      </c>
      <c r="B32" s="10" t="s">
        <v>48</v>
      </c>
      <c r="C32" s="10" t="s">
        <v>56</v>
      </c>
      <c r="D32" s="11" t="n">
        <v>550</v>
      </c>
      <c r="E32" s="10" t="s">
        <v>53</v>
      </c>
      <c r="F32" s="10" t="s">
        <v>53</v>
      </c>
      <c r="G32" s="10" t="s">
        <v>41</v>
      </c>
      <c r="H32" s="12" t="n">
        <v>0.02</v>
      </c>
      <c r="I32" s="13"/>
      <c r="J32" s="13"/>
      <c r="K32" s="10" t="s">
        <v>42</v>
      </c>
    </row>
    <row r="33" customFormat="false" ht="15" hidden="false" customHeight="false" outlineLevel="0" collapsed="false">
      <c r="A33" s="10" t="s">
        <v>73</v>
      </c>
      <c r="B33" s="10" t="s">
        <v>28</v>
      </c>
      <c r="C33" s="10" t="s">
        <v>56</v>
      </c>
      <c r="D33" s="11" t="n">
        <v>550</v>
      </c>
      <c r="E33" s="10" t="s">
        <v>30</v>
      </c>
      <c r="F33" s="10" t="s">
        <v>30</v>
      </c>
      <c r="G33" s="10" t="s">
        <v>41</v>
      </c>
      <c r="H33" s="12" t="n">
        <v>0.02</v>
      </c>
      <c r="I33" s="13" t="n">
        <v>1.67</v>
      </c>
      <c r="J33" s="13" t="n">
        <v>4.28</v>
      </c>
      <c r="K33" s="10" t="s">
        <v>42</v>
      </c>
    </row>
    <row r="34" customFormat="false" ht="15" hidden="false" customHeight="false" outlineLevel="0" collapsed="false">
      <c r="A34" s="10" t="s">
        <v>74</v>
      </c>
      <c r="B34" s="10" t="s">
        <v>48</v>
      </c>
      <c r="C34" s="10" t="s">
        <v>56</v>
      </c>
      <c r="D34" s="11" t="n">
        <v>550</v>
      </c>
      <c r="E34" s="10" t="s">
        <v>30</v>
      </c>
      <c r="F34" s="10" t="s">
        <v>30</v>
      </c>
      <c r="G34" s="10" t="s">
        <v>31</v>
      </c>
      <c r="H34" s="12" t="n">
        <v>0.02</v>
      </c>
      <c r="I34" s="13" t="n">
        <v>1.14</v>
      </c>
      <c r="J34" s="13" t="n">
        <v>4.1</v>
      </c>
      <c r="K34" s="10" t="s">
        <v>42</v>
      </c>
    </row>
    <row r="35" customFormat="false" ht="15" hidden="false" customHeight="false" outlineLevel="0" collapsed="false">
      <c r="A35" s="10" t="s">
        <v>75</v>
      </c>
      <c r="B35" s="10" t="s">
        <v>48</v>
      </c>
      <c r="C35" s="10" t="s">
        <v>56</v>
      </c>
      <c r="D35" s="11" t="n">
        <v>550</v>
      </c>
      <c r="E35" s="10" t="s">
        <v>53</v>
      </c>
      <c r="F35" s="10" t="s">
        <v>30</v>
      </c>
      <c r="G35" s="10" t="s">
        <v>41</v>
      </c>
      <c r="H35" s="12" t="n">
        <v>0.01</v>
      </c>
      <c r="I35" s="13" t="n">
        <v>1.13</v>
      </c>
      <c r="J35" s="13" t="n">
        <v>4.87</v>
      </c>
      <c r="K35" s="10" t="s">
        <v>42</v>
      </c>
    </row>
    <row r="36" customFormat="false" ht="15" hidden="false" customHeight="false" outlineLevel="0" collapsed="false">
      <c r="A36" s="10" t="s">
        <v>76</v>
      </c>
      <c r="B36" s="10" t="s">
        <v>77</v>
      </c>
      <c r="C36" s="10" t="s">
        <v>56</v>
      </c>
      <c r="D36" s="11" t="n">
        <v>550</v>
      </c>
      <c r="E36" s="10" t="s">
        <v>30</v>
      </c>
      <c r="F36" s="10" t="s">
        <v>53</v>
      </c>
      <c r="G36" s="10" t="s">
        <v>31</v>
      </c>
      <c r="H36" s="12" t="n">
        <v>0.01</v>
      </c>
      <c r="I36" s="13"/>
      <c r="J36" s="13"/>
      <c r="K36" s="10" t="s">
        <v>42</v>
      </c>
    </row>
    <row r="37" customFormat="false" ht="15" hidden="false" customHeight="false" outlineLevel="0" collapsed="false">
      <c r="A37" s="10" t="s">
        <v>78</v>
      </c>
      <c r="B37" s="10" t="s">
        <v>28</v>
      </c>
      <c r="C37" s="10" t="s">
        <v>56</v>
      </c>
      <c r="D37" s="11" t="n">
        <v>550</v>
      </c>
      <c r="E37" s="10" t="s">
        <v>30</v>
      </c>
      <c r="F37" s="10" t="s">
        <v>30</v>
      </c>
      <c r="G37" s="10" t="s">
        <v>31</v>
      </c>
      <c r="H37" s="12" t="n">
        <v>0.01</v>
      </c>
      <c r="I37" s="13" t="n">
        <v>1.53</v>
      </c>
      <c r="J37" s="13" t="n">
        <v>6.94</v>
      </c>
      <c r="K37" s="10" t="s">
        <v>42</v>
      </c>
    </row>
    <row r="38" customFormat="false" ht="15" hidden="false" customHeight="false" outlineLevel="0" collapsed="false">
      <c r="A38" s="10" t="s">
        <v>79</v>
      </c>
      <c r="B38" s="10" t="s">
        <v>48</v>
      </c>
      <c r="C38" s="10" t="s">
        <v>56</v>
      </c>
      <c r="D38" s="11" t="n">
        <v>550</v>
      </c>
      <c r="E38" s="10" t="s">
        <v>53</v>
      </c>
      <c r="F38" s="10" t="s">
        <v>30</v>
      </c>
      <c r="G38" s="10" t="s">
        <v>31</v>
      </c>
      <c r="H38" s="12" t="n">
        <v>0.005</v>
      </c>
      <c r="I38" s="13" t="n">
        <v>1.19</v>
      </c>
      <c r="J38" s="13" t="n">
        <v>5.1</v>
      </c>
      <c r="K38" s="10" t="s">
        <v>42</v>
      </c>
    </row>
    <row r="39" customFormat="false" ht="15" hidden="false" customHeight="false" outlineLevel="0" collapsed="false">
      <c r="A39" s="10" t="s">
        <v>80</v>
      </c>
      <c r="B39" s="10" t="s">
        <v>28</v>
      </c>
      <c r="C39" s="10" t="s">
        <v>56</v>
      </c>
      <c r="D39" s="11" t="n">
        <v>550</v>
      </c>
      <c r="E39" s="10" t="s">
        <v>30</v>
      </c>
      <c r="F39" s="10" t="s">
        <v>30</v>
      </c>
      <c r="G39" s="10" t="s">
        <v>41</v>
      </c>
      <c r="H39" s="12" t="n">
        <v>0.005</v>
      </c>
      <c r="I39" s="13"/>
      <c r="J39" s="13"/>
      <c r="K39" s="10" t="s">
        <v>42</v>
      </c>
    </row>
    <row r="40" customFormat="false" ht="15" hidden="false" customHeight="false" outlineLevel="0" collapsed="false">
      <c r="A40" s="10" t="s">
        <v>81</v>
      </c>
      <c r="B40" s="10" t="s">
        <v>34</v>
      </c>
      <c r="C40" s="10" t="s">
        <v>56</v>
      </c>
      <c r="D40" s="11" t="n">
        <v>550</v>
      </c>
      <c r="E40" s="10" t="s">
        <v>30</v>
      </c>
      <c r="F40" s="10" t="s">
        <v>30</v>
      </c>
      <c r="G40" s="10" t="s">
        <v>31</v>
      </c>
      <c r="H40" s="12" t="n">
        <v>0.005</v>
      </c>
      <c r="I40" s="13" t="n">
        <v>1.77</v>
      </c>
      <c r="J40" s="13" t="n">
        <v>5.17</v>
      </c>
      <c r="K40" s="10" t="s">
        <v>51</v>
      </c>
    </row>
    <row r="41" customFormat="false" ht="15" hidden="false" customHeight="false" outlineLevel="0" collapsed="false">
      <c r="A41" s="10" t="s">
        <v>82</v>
      </c>
      <c r="B41" s="10" t="s">
        <v>48</v>
      </c>
      <c r="C41" s="10" t="s">
        <v>56</v>
      </c>
      <c r="D41" s="11" t="n">
        <v>550</v>
      </c>
      <c r="E41" s="10" t="s">
        <v>30</v>
      </c>
      <c r="F41" s="10" t="s">
        <v>53</v>
      </c>
      <c r="G41" s="10" t="s">
        <v>31</v>
      </c>
      <c r="H41" s="12" t="n">
        <v>0.005</v>
      </c>
      <c r="I41" s="13" t="n">
        <v>1.03</v>
      </c>
      <c r="J41" s="13" t="n">
        <v>4.57</v>
      </c>
      <c r="K41" s="10" t="s">
        <v>42</v>
      </c>
    </row>
    <row r="42" customFormat="false" ht="15" hidden="false" customHeight="false" outlineLevel="0" collapsed="false">
      <c r="A42" s="10" t="s">
        <v>83</v>
      </c>
      <c r="B42" s="10" t="s">
        <v>34</v>
      </c>
      <c r="C42" s="10" t="s">
        <v>56</v>
      </c>
      <c r="D42" s="11" t="n">
        <v>550</v>
      </c>
      <c r="E42" s="10" t="s">
        <v>53</v>
      </c>
      <c r="F42" s="10" t="s">
        <v>30</v>
      </c>
      <c r="G42" s="10" t="s">
        <v>31</v>
      </c>
      <c r="H42" s="12" t="n">
        <v>0.005</v>
      </c>
      <c r="I42" s="13"/>
      <c r="J42" s="13"/>
      <c r="K42" s="10" t="s">
        <v>42</v>
      </c>
    </row>
    <row r="43" customFormat="false" ht="15" hidden="false" customHeight="false" outlineLevel="0" collapsed="false">
      <c r="A43" s="10" t="s">
        <v>84</v>
      </c>
      <c r="B43" s="10" t="s">
        <v>34</v>
      </c>
      <c r="C43" s="10" t="s">
        <v>56</v>
      </c>
      <c r="D43" s="11" t="n">
        <v>550</v>
      </c>
      <c r="E43" s="10" t="s">
        <v>30</v>
      </c>
      <c r="F43" s="10" t="s">
        <v>59</v>
      </c>
      <c r="G43" s="10" t="s">
        <v>31</v>
      </c>
      <c r="H43" s="12" t="n">
        <v>0.005</v>
      </c>
      <c r="I43" s="13"/>
      <c r="J43" s="13"/>
      <c r="K43" s="10" t="s">
        <v>85</v>
      </c>
    </row>
    <row r="44" customFormat="false" ht="15" hidden="false" customHeight="false" outlineLevel="0" collapsed="false">
      <c r="A44" s="10" t="s">
        <v>37</v>
      </c>
      <c r="B44" s="10" t="s">
        <v>37</v>
      </c>
      <c r="C44" s="10" t="s">
        <v>56</v>
      </c>
      <c r="D44" s="11" t="n">
        <v>550</v>
      </c>
      <c r="E44" s="10" t="s">
        <v>30</v>
      </c>
      <c r="F44" s="10" t="s">
        <v>59</v>
      </c>
      <c r="G44" s="10" t="s">
        <v>31</v>
      </c>
      <c r="H44" s="12" t="n">
        <v>0.005</v>
      </c>
      <c r="I44" s="13"/>
      <c r="J44" s="13"/>
      <c r="K44" s="10" t="s">
        <v>46</v>
      </c>
    </row>
    <row r="45" customFormat="false" ht="15" hidden="false" customHeight="false" outlineLevel="0" collapsed="false">
      <c r="A45" s="10" t="s">
        <v>86</v>
      </c>
      <c r="B45" s="10" t="s">
        <v>48</v>
      </c>
      <c r="C45" s="10" t="s">
        <v>56</v>
      </c>
      <c r="D45" s="11" t="n">
        <v>550</v>
      </c>
      <c r="E45" s="10" t="s">
        <v>53</v>
      </c>
      <c r="F45" s="10" t="s">
        <v>53</v>
      </c>
      <c r="G45" s="10" t="s">
        <v>41</v>
      </c>
      <c r="H45" s="12" t="n">
        <v>0.005</v>
      </c>
      <c r="I45" s="13" t="n">
        <v>1.64</v>
      </c>
      <c r="J45" s="13" t="n">
        <v>4.1</v>
      </c>
      <c r="K45" s="10" t="s">
        <v>42</v>
      </c>
    </row>
    <row r="46" customFormat="false" ht="15" hidden="false" customHeight="false" outlineLevel="0" collapsed="false">
      <c r="A46" s="10" t="s">
        <v>87</v>
      </c>
      <c r="B46" s="10" t="s">
        <v>34</v>
      </c>
      <c r="C46" s="10" t="s">
        <v>56</v>
      </c>
      <c r="D46" s="11" t="n">
        <v>550</v>
      </c>
      <c r="E46" s="10" t="s">
        <v>30</v>
      </c>
      <c r="F46" s="10" t="s">
        <v>30</v>
      </c>
      <c r="G46" s="10" t="s">
        <v>31</v>
      </c>
      <c r="H46" s="12"/>
      <c r="I46" s="13"/>
      <c r="J46" s="13"/>
      <c r="K46" s="10" t="s">
        <v>46</v>
      </c>
    </row>
    <row r="47" customFormat="false" ht="15" hidden="false" customHeight="false" outlineLevel="0" collapsed="false">
      <c r="A47" s="10" t="s">
        <v>88</v>
      </c>
      <c r="B47" s="10" t="s">
        <v>37</v>
      </c>
      <c r="C47" s="10" t="s">
        <v>56</v>
      </c>
      <c r="D47" s="11" t="n">
        <v>550</v>
      </c>
      <c r="E47" s="10" t="s">
        <v>30</v>
      </c>
      <c r="F47" s="10" t="s">
        <v>30</v>
      </c>
      <c r="G47" s="10" t="s">
        <v>31</v>
      </c>
      <c r="H47" s="12"/>
      <c r="I47" s="13"/>
      <c r="J47" s="13"/>
      <c r="K47" s="10" t="s">
        <v>46</v>
      </c>
    </row>
    <row r="48" customFormat="false" ht="15" hidden="false" customHeight="false" outlineLevel="0" collapsed="false">
      <c r="A48" s="10" t="s">
        <v>89</v>
      </c>
      <c r="B48" s="10" t="s">
        <v>28</v>
      </c>
      <c r="C48" s="10" t="s">
        <v>90</v>
      </c>
      <c r="D48" s="11" t="n">
        <v>55</v>
      </c>
      <c r="E48" s="10" t="s">
        <v>30</v>
      </c>
      <c r="F48" s="10" t="s">
        <v>59</v>
      </c>
      <c r="G48" s="10" t="s">
        <v>41</v>
      </c>
      <c r="H48" s="12" t="n">
        <v>0.2</v>
      </c>
      <c r="I48" s="13" t="n">
        <v>2.92</v>
      </c>
      <c r="J48" s="13" t="n">
        <v>5.99</v>
      </c>
      <c r="K48" s="10" t="s">
        <v>42</v>
      </c>
    </row>
    <row r="49" customFormat="false" ht="15" hidden="false" customHeight="false" outlineLevel="0" collapsed="false">
      <c r="A49" s="10" t="s">
        <v>91</v>
      </c>
      <c r="B49" s="10" t="s">
        <v>77</v>
      </c>
      <c r="C49" s="10" t="s">
        <v>90</v>
      </c>
      <c r="D49" s="11" t="n">
        <v>55</v>
      </c>
      <c r="E49" s="10" t="s">
        <v>30</v>
      </c>
      <c r="F49" s="10" t="s">
        <v>30</v>
      </c>
      <c r="G49" s="10" t="s">
        <v>41</v>
      </c>
      <c r="H49" s="12" t="n">
        <v>0.18</v>
      </c>
      <c r="I49" s="13"/>
      <c r="J49" s="13"/>
      <c r="K49" s="10" t="s">
        <v>42</v>
      </c>
    </row>
    <row r="50" customFormat="false" ht="15" hidden="false" customHeight="false" outlineLevel="0" collapsed="false">
      <c r="A50" s="10" t="s">
        <v>92</v>
      </c>
      <c r="B50" s="10" t="s">
        <v>93</v>
      </c>
      <c r="C50" s="10" t="s">
        <v>90</v>
      </c>
      <c r="D50" s="11" t="n">
        <v>55</v>
      </c>
      <c r="E50" s="10" t="s">
        <v>30</v>
      </c>
      <c r="F50" s="10" t="s">
        <v>30</v>
      </c>
      <c r="G50" s="10" t="s">
        <v>31</v>
      </c>
      <c r="H50" s="12" t="n">
        <v>0.18</v>
      </c>
      <c r="I50" s="13"/>
      <c r="J50" s="13"/>
      <c r="K50" s="10" t="s">
        <v>42</v>
      </c>
    </row>
    <row r="51" customFormat="false" ht="15" hidden="false" customHeight="false" outlineLevel="0" collapsed="false">
      <c r="A51" s="10" t="s">
        <v>94</v>
      </c>
      <c r="B51" s="10" t="s">
        <v>93</v>
      </c>
      <c r="C51" s="10" t="s">
        <v>90</v>
      </c>
      <c r="D51" s="11" t="n">
        <v>55</v>
      </c>
      <c r="E51" s="10" t="s">
        <v>30</v>
      </c>
      <c r="F51" s="10" t="s">
        <v>30</v>
      </c>
      <c r="G51" s="10" t="s">
        <v>31</v>
      </c>
      <c r="H51" s="12" t="n">
        <v>0.18</v>
      </c>
      <c r="I51" s="13"/>
      <c r="J51" s="13"/>
      <c r="K51" s="10" t="s">
        <v>42</v>
      </c>
    </row>
    <row r="52" customFormat="false" ht="15" hidden="false" customHeight="false" outlineLevel="0" collapsed="false">
      <c r="A52" s="10" t="s">
        <v>95</v>
      </c>
      <c r="B52" s="10" t="s">
        <v>77</v>
      </c>
      <c r="C52" s="10" t="s">
        <v>90</v>
      </c>
      <c r="D52" s="11" t="n">
        <v>55</v>
      </c>
      <c r="E52" s="10" t="s">
        <v>59</v>
      </c>
      <c r="F52" s="10" t="s">
        <v>59</v>
      </c>
      <c r="G52" s="10" t="s">
        <v>41</v>
      </c>
      <c r="H52" s="12" t="n">
        <v>0.16</v>
      </c>
      <c r="I52" s="13"/>
      <c r="J52" s="13"/>
      <c r="K52" s="10" t="s">
        <v>42</v>
      </c>
    </row>
    <row r="53" customFormat="false" ht="15" hidden="false" customHeight="false" outlineLevel="0" collapsed="false">
      <c r="A53" s="10" t="s">
        <v>96</v>
      </c>
      <c r="B53" s="10" t="s">
        <v>77</v>
      </c>
      <c r="C53" s="10" t="s">
        <v>90</v>
      </c>
      <c r="D53" s="11" t="n">
        <v>55</v>
      </c>
      <c r="E53" s="10" t="s">
        <v>30</v>
      </c>
      <c r="F53" s="10" t="s">
        <v>59</v>
      </c>
      <c r="G53" s="10" t="s">
        <v>31</v>
      </c>
      <c r="H53" s="12" t="n">
        <v>0.14</v>
      </c>
      <c r="I53" s="13"/>
      <c r="J53" s="13"/>
      <c r="K53" s="10" t="s">
        <v>42</v>
      </c>
    </row>
    <row r="54" customFormat="false" ht="15" hidden="false" customHeight="false" outlineLevel="0" collapsed="false">
      <c r="A54" s="10" t="s">
        <v>97</v>
      </c>
      <c r="B54" s="10" t="s">
        <v>28</v>
      </c>
      <c r="C54" s="10" t="s">
        <v>90</v>
      </c>
      <c r="D54" s="11" t="n">
        <v>55</v>
      </c>
      <c r="E54" s="10" t="s">
        <v>30</v>
      </c>
      <c r="F54" s="10" t="s">
        <v>30</v>
      </c>
      <c r="G54" s="10" t="s">
        <v>98</v>
      </c>
      <c r="H54" s="12" t="n">
        <v>0.12</v>
      </c>
      <c r="I54" s="13" t="n">
        <v>1.11</v>
      </c>
      <c r="J54" s="13" t="n">
        <v>4.87</v>
      </c>
      <c r="K54" s="10" t="s">
        <v>42</v>
      </c>
    </row>
    <row r="55" customFormat="false" ht="15" hidden="false" customHeight="false" outlineLevel="0" collapsed="false">
      <c r="A55" s="10" t="s">
        <v>99</v>
      </c>
      <c r="B55" s="10" t="s">
        <v>77</v>
      </c>
      <c r="C55" s="10" t="s">
        <v>90</v>
      </c>
      <c r="D55" s="11" t="n">
        <v>55</v>
      </c>
      <c r="E55" s="10" t="s">
        <v>30</v>
      </c>
      <c r="F55" s="10" t="s">
        <v>30</v>
      </c>
      <c r="G55" s="10" t="s">
        <v>41</v>
      </c>
      <c r="H55" s="12" t="n">
        <v>0.12</v>
      </c>
      <c r="I55" s="13" t="n">
        <v>2.23</v>
      </c>
      <c r="J55" s="13" t="n">
        <v>5.69</v>
      </c>
      <c r="K55" s="10" t="s">
        <v>42</v>
      </c>
    </row>
    <row r="56" customFormat="false" ht="15" hidden="false" customHeight="false" outlineLevel="0" collapsed="false">
      <c r="A56" s="10" t="s">
        <v>100</v>
      </c>
      <c r="B56" s="10" t="s">
        <v>77</v>
      </c>
      <c r="C56" s="10" t="s">
        <v>90</v>
      </c>
      <c r="D56" s="11" t="n">
        <v>55</v>
      </c>
      <c r="E56" s="10" t="s">
        <v>30</v>
      </c>
      <c r="F56" s="10" t="s">
        <v>30</v>
      </c>
      <c r="G56" s="10" t="s">
        <v>41</v>
      </c>
      <c r="H56" s="12" t="n">
        <v>0.1</v>
      </c>
      <c r="I56" s="13"/>
      <c r="J56" s="13"/>
      <c r="K56" s="10" t="s">
        <v>42</v>
      </c>
    </row>
    <row r="57" customFormat="false" ht="15" hidden="false" customHeight="false" outlineLevel="0" collapsed="false">
      <c r="A57" s="10" t="s">
        <v>101</v>
      </c>
      <c r="B57" s="10" t="s">
        <v>102</v>
      </c>
      <c r="C57" s="10" t="s">
        <v>90</v>
      </c>
      <c r="D57" s="11" t="n">
        <v>55</v>
      </c>
      <c r="E57" s="10" t="s">
        <v>30</v>
      </c>
      <c r="F57" s="10" t="s">
        <v>59</v>
      </c>
      <c r="G57" s="10" t="s">
        <v>41</v>
      </c>
      <c r="H57" s="12" t="n">
        <v>0.1</v>
      </c>
      <c r="I57" s="13" t="n">
        <v>0.94</v>
      </c>
      <c r="J57" s="13" t="n">
        <v>4.87</v>
      </c>
      <c r="K57" s="10" t="s">
        <v>42</v>
      </c>
    </row>
    <row r="58" customFormat="false" ht="15" hidden="false" customHeight="false" outlineLevel="0" collapsed="false">
      <c r="A58" s="10" t="s">
        <v>103</v>
      </c>
      <c r="B58" s="10" t="s">
        <v>102</v>
      </c>
      <c r="C58" s="10" t="s">
        <v>90</v>
      </c>
      <c r="D58" s="11" t="n">
        <v>55</v>
      </c>
      <c r="E58" s="10" t="s">
        <v>30</v>
      </c>
      <c r="F58" s="10" t="s">
        <v>59</v>
      </c>
      <c r="G58" s="10" t="s">
        <v>41</v>
      </c>
      <c r="H58" s="12" t="n">
        <v>0.1</v>
      </c>
      <c r="I58" s="13" t="n">
        <v>0.94</v>
      </c>
      <c r="J58" s="13" t="n">
        <v>4.87</v>
      </c>
      <c r="K58" s="10" t="s">
        <v>42</v>
      </c>
    </row>
    <row r="59" customFormat="false" ht="15" hidden="false" customHeight="false" outlineLevel="0" collapsed="false">
      <c r="A59" s="10" t="s">
        <v>104</v>
      </c>
      <c r="B59" s="10" t="s">
        <v>28</v>
      </c>
      <c r="C59" s="10" t="s">
        <v>90</v>
      </c>
      <c r="D59" s="11" t="n">
        <v>55</v>
      </c>
      <c r="E59" s="10" t="s">
        <v>30</v>
      </c>
      <c r="F59" s="10" t="s">
        <v>30</v>
      </c>
      <c r="G59" s="10" t="s">
        <v>98</v>
      </c>
      <c r="H59" s="12" t="n">
        <v>0.08</v>
      </c>
      <c r="I59" s="13" t="n">
        <v>1.37</v>
      </c>
      <c r="J59" s="13" t="n">
        <v>5</v>
      </c>
      <c r="K59" s="10" t="s">
        <v>42</v>
      </c>
    </row>
    <row r="60" customFormat="false" ht="15" hidden="false" customHeight="false" outlineLevel="0" collapsed="false">
      <c r="A60" s="10" t="s">
        <v>105</v>
      </c>
      <c r="B60" s="10" t="s">
        <v>77</v>
      </c>
      <c r="C60" s="10" t="s">
        <v>90</v>
      </c>
      <c r="D60" s="11" t="n">
        <v>55</v>
      </c>
      <c r="E60" s="10" t="s">
        <v>30</v>
      </c>
      <c r="F60" s="10" t="s">
        <v>30</v>
      </c>
      <c r="G60" s="10" t="s">
        <v>31</v>
      </c>
      <c r="H60" s="12" t="n">
        <v>0.08</v>
      </c>
      <c r="I60" s="13"/>
      <c r="J60" s="13"/>
      <c r="K60" s="10" t="s">
        <v>42</v>
      </c>
    </row>
    <row r="61" customFormat="false" ht="15" hidden="false" customHeight="false" outlineLevel="0" collapsed="false">
      <c r="A61" s="10" t="s">
        <v>106</v>
      </c>
      <c r="B61" s="10" t="s">
        <v>77</v>
      </c>
      <c r="C61" s="10" t="s">
        <v>90</v>
      </c>
      <c r="D61" s="11" t="n">
        <v>55</v>
      </c>
      <c r="E61" s="10" t="s">
        <v>30</v>
      </c>
      <c r="F61" s="10" t="s">
        <v>30</v>
      </c>
      <c r="G61" s="10" t="s">
        <v>41</v>
      </c>
      <c r="H61" s="12" t="n">
        <v>0.08</v>
      </c>
      <c r="I61" s="13"/>
      <c r="J61" s="13"/>
      <c r="K61" s="10" t="s">
        <v>42</v>
      </c>
    </row>
    <row r="62" customFormat="false" ht="15" hidden="false" customHeight="false" outlineLevel="0" collapsed="false">
      <c r="A62" s="10" t="s">
        <v>107</v>
      </c>
      <c r="B62" s="10" t="s">
        <v>108</v>
      </c>
      <c r="C62" s="10" t="s">
        <v>90</v>
      </c>
      <c r="D62" s="11" t="n">
        <v>55</v>
      </c>
      <c r="E62" s="10" t="s">
        <v>30</v>
      </c>
      <c r="F62" s="10" t="s">
        <v>30</v>
      </c>
      <c r="G62" s="10" t="s">
        <v>41</v>
      </c>
      <c r="H62" s="12" t="n">
        <v>0.08</v>
      </c>
      <c r="I62" s="13" t="n">
        <v>1.99</v>
      </c>
      <c r="J62" s="13" t="n">
        <v>6.67</v>
      </c>
      <c r="K62" s="10" t="s">
        <v>85</v>
      </c>
    </row>
    <row r="63" customFormat="false" ht="15" hidden="false" customHeight="false" outlineLevel="0" collapsed="false">
      <c r="A63" s="10" t="s">
        <v>109</v>
      </c>
      <c r="B63" s="10" t="s">
        <v>108</v>
      </c>
      <c r="C63" s="10" t="s">
        <v>90</v>
      </c>
      <c r="D63" s="11" t="n">
        <v>55</v>
      </c>
      <c r="E63" s="10" t="s">
        <v>30</v>
      </c>
      <c r="F63" s="10" t="s">
        <v>30</v>
      </c>
      <c r="G63" s="10" t="s">
        <v>41</v>
      </c>
      <c r="H63" s="12" t="n">
        <v>0.08</v>
      </c>
      <c r="I63" s="13"/>
      <c r="J63" s="13"/>
      <c r="K63" s="10" t="s">
        <v>85</v>
      </c>
    </row>
    <row r="64" customFormat="false" ht="15" hidden="false" customHeight="false" outlineLevel="0" collapsed="false">
      <c r="A64" s="10" t="s">
        <v>110</v>
      </c>
      <c r="B64" s="10" t="s">
        <v>28</v>
      </c>
      <c r="C64" s="10" t="s">
        <v>90</v>
      </c>
      <c r="D64" s="11" t="n">
        <v>55</v>
      </c>
      <c r="E64" s="10" t="s">
        <v>53</v>
      </c>
      <c r="F64" s="10" t="s">
        <v>53</v>
      </c>
      <c r="G64" s="10" t="s">
        <v>31</v>
      </c>
      <c r="H64" s="12" t="n">
        <v>0.07</v>
      </c>
      <c r="I64" s="13" t="n">
        <v>2.58</v>
      </c>
      <c r="J64" s="13" t="n">
        <v>8.23</v>
      </c>
      <c r="K64" s="10" t="s">
        <v>42</v>
      </c>
    </row>
    <row r="65" customFormat="false" ht="15" hidden="false" customHeight="false" outlineLevel="0" collapsed="false">
      <c r="A65" s="10" t="s">
        <v>111</v>
      </c>
      <c r="B65" s="10" t="s">
        <v>28</v>
      </c>
      <c r="C65" s="10" t="s">
        <v>90</v>
      </c>
      <c r="D65" s="11" t="n">
        <v>55</v>
      </c>
      <c r="E65" s="10" t="s">
        <v>59</v>
      </c>
      <c r="F65" s="10" t="s">
        <v>30</v>
      </c>
      <c r="G65" s="10" t="s">
        <v>41</v>
      </c>
      <c r="H65" s="12" t="n">
        <v>0.06</v>
      </c>
      <c r="I65" s="13" t="n">
        <v>1.52</v>
      </c>
      <c r="J65" s="13" t="n">
        <v>5.05</v>
      </c>
      <c r="K65" s="10" t="s">
        <v>42</v>
      </c>
    </row>
    <row r="66" customFormat="false" ht="15" hidden="false" customHeight="false" outlineLevel="0" collapsed="false">
      <c r="A66" s="10" t="s">
        <v>112</v>
      </c>
      <c r="B66" s="10" t="s">
        <v>28</v>
      </c>
      <c r="C66" s="10" t="s">
        <v>90</v>
      </c>
      <c r="D66" s="11" t="n">
        <v>55</v>
      </c>
      <c r="E66" s="10" t="s">
        <v>30</v>
      </c>
      <c r="F66" s="10" t="s">
        <v>30</v>
      </c>
      <c r="G66" s="10" t="s">
        <v>98</v>
      </c>
      <c r="H66" s="12" t="n">
        <v>0.04</v>
      </c>
      <c r="I66" s="13" t="n">
        <v>1.68</v>
      </c>
      <c r="J66" s="13" t="n">
        <v>4.32</v>
      </c>
      <c r="K66" s="10" t="s">
        <v>42</v>
      </c>
    </row>
    <row r="67" customFormat="false" ht="15" hidden="false" customHeight="false" outlineLevel="0" collapsed="false">
      <c r="A67" s="10" t="s">
        <v>113</v>
      </c>
      <c r="B67" s="10" t="s">
        <v>28</v>
      </c>
      <c r="C67" s="10" t="s">
        <v>90</v>
      </c>
      <c r="D67" s="11" t="n">
        <v>55</v>
      </c>
      <c r="E67" s="10" t="s">
        <v>30</v>
      </c>
      <c r="F67" s="10" t="s">
        <v>30</v>
      </c>
      <c r="G67" s="10" t="s">
        <v>98</v>
      </c>
      <c r="H67" s="12" t="n">
        <v>0.04</v>
      </c>
      <c r="I67" s="13" t="n">
        <v>1.91</v>
      </c>
      <c r="J67" s="13" t="n">
        <v>5</v>
      </c>
      <c r="K67" s="10" t="s">
        <v>42</v>
      </c>
    </row>
    <row r="68" customFormat="false" ht="15" hidden="false" customHeight="false" outlineLevel="0" collapsed="false">
      <c r="A68" s="10" t="s">
        <v>114</v>
      </c>
      <c r="B68" s="10" t="s">
        <v>48</v>
      </c>
      <c r="C68" s="10" t="s">
        <v>90</v>
      </c>
      <c r="D68" s="11" t="n">
        <v>55</v>
      </c>
      <c r="E68" s="10" t="s">
        <v>30</v>
      </c>
      <c r="F68" s="10" t="s">
        <v>30</v>
      </c>
      <c r="G68" s="10" t="s">
        <v>41</v>
      </c>
      <c r="H68" s="12" t="n">
        <v>0.04</v>
      </c>
      <c r="I68" s="13"/>
      <c r="J68" s="13"/>
      <c r="K68" s="10" t="s">
        <v>42</v>
      </c>
    </row>
    <row r="69" customFormat="false" ht="15" hidden="false" customHeight="false" outlineLevel="0" collapsed="false">
      <c r="A69" s="10" t="s">
        <v>115</v>
      </c>
      <c r="B69" s="10" t="s">
        <v>108</v>
      </c>
      <c r="C69" s="10" t="s">
        <v>90</v>
      </c>
      <c r="D69" s="11" t="n">
        <v>55</v>
      </c>
      <c r="E69" s="10" t="s">
        <v>53</v>
      </c>
      <c r="F69" s="10" t="s">
        <v>30</v>
      </c>
      <c r="G69" s="10" t="s">
        <v>41</v>
      </c>
      <c r="H69" s="12" t="n">
        <v>0.04</v>
      </c>
      <c r="I69" s="13"/>
      <c r="J69" s="13"/>
      <c r="K69" s="10" t="s">
        <v>85</v>
      </c>
    </row>
    <row r="70" customFormat="false" ht="15" hidden="false" customHeight="false" outlineLevel="0" collapsed="false">
      <c r="A70" s="10" t="s">
        <v>116</v>
      </c>
      <c r="B70" s="10" t="s">
        <v>108</v>
      </c>
      <c r="C70" s="10" t="s">
        <v>90</v>
      </c>
      <c r="D70" s="11" t="n">
        <v>55</v>
      </c>
      <c r="E70" s="10" t="s">
        <v>117</v>
      </c>
      <c r="F70" s="10" t="s">
        <v>30</v>
      </c>
      <c r="G70" s="10" t="s">
        <v>31</v>
      </c>
      <c r="H70" s="12" t="n">
        <v>0.04</v>
      </c>
      <c r="I70" s="13"/>
      <c r="J70" s="13"/>
      <c r="K70" s="10" t="s">
        <v>85</v>
      </c>
    </row>
    <row r="71" customFormat="false" ht="15" hidden="false" customHeight="false" outlineLevel="0" collapsed="false">
      <c r="A71" s="10" t="s">
        <v>118</v>
      </c>
      <c r="B71" s="10" t="s">
        <v>77</v>
      </c>
      <c r="C71" s="10" t="s">
        <v>90</v>
      </c>
      <c r="D71" s="11" t="n">
        <v>55</v>
      </c>
      <c r="E71" s="10" t="s">
        <v>30</v>
      </c>
      <c r="F71" s="10" t="s">
        <v>30</v>
      </c>
      <c r="G71" s="10" t="s">
        <v>98</v>
      </c>
      <c r="H71" s="12" t="n">
        <v>0.04</v>
      </c>
      <c r="I71" s="13" t="n">
        <v>1.07</v>
      </c>
      <c r="J71" s="13" t="n">
        <v>5</v>
      </c>
      <c r="K71" s="10" t="s">
        <v>42</v>
      </c>
    </row>
    <row r="72" customFormat="false" ht="15" hidden="false" customHeight="false" outlineLevel="0" collapsed="false">
      <c r="A72" s="10" t="s">
        <v>119</v>
      </c>
      <c r="B72" s="10" t="s">
        <v>48</v>
      </c>
      <c r="C72" s="10" t="s">
        <v>90</v>
      </c>
      <c r="D72" s="11" t="n">
        <v>55</v>
      </c>
      <c r="E72" s="10" t="s">
        <v>53</v>
      </c>
      <c r="F72" s="10" t="s">
        <v>53</v>
      </c>
      <c r="G72" s="10" t="s">
        <v>41</v>
      </c>
      <c r="H72" s="12" t="n">
        <v>0.04</v>
      </c>
      <c r="I72" s="13" t="n">
        <v>1.51</v>
      </c>
      <c r="J72" s="13" t="n">
        <v>3.2</v>
      </c>
      <c r="K72" s="10" t="s">
        <v>42</v>
      </c>
    </row>
    <row r="73" customFormat="false" ht="15" hidden="false" customHeight="false" outlineLevel="0" collapsed="false">
      <c r="A73" s="10" t="s">
        <v>120</v>
      </c>
      <c r="B73" s="10" t="s">
        <v>28</v>
      </c>
      <c r="C73" s="10" t="s">
        <v>90</v>
      </c>
      <c r="D73" s="11" t="n">
        <v>55</v>
      </c>
      <c r="E73" s="10" t="s">
        <v>30</v>
      </c>
      <c r="F73" s="10" t="s">
        <v>30</v>
      </c>
      <c r="G73" s="10" t="s">
        <v>41</v>
      </c>
      <c r="H73" s="12" t="n">
        <v>0.02</v>
      </c>
      <c r="I73" s="13" t="n">
        <v>1.72</v>
      </c>
      <c r="J73" s="13" t="n">
        <v>4.87</v>
      </c>
      <c r="K73" s="10" t="s">
        <v>42</v>
      </c>
    </row>
    <row r="74" customFormat="false" ht="15" hidden="false" customHeight="false" outlineLevel="0" collapsed="false">
      <c r="A74" s="10" t="s">
        <v>121</v>
      </c>
      <c r="B74" s="10" t="s">
        <v>77</v>
      </c>
      <c r="C74" s="10" t="s">
        <v>90</v>
      </c>
      <c r="D74" s="11" t="n">
        <v>55</v>
      </c>
      <c r="E74" s="10" t="s">
        <v>30</v>
      </c>
      <c r="F74" s="10" t="s">
        <v>59</v>
      </c>
      <c r="G74" s="10" t="s">
        <v>31</v>
      </c>
      <c r="H74" s="12" t="n">
        <v>0.02</v>
      </c>
      <c r="I74" s="13"/>
      <c r="J74" s="13"/>
      <c r="K74" s="10" t="s">
        <v>42</v>
      </c>
    </row>
    <row r="75" customFormat="false" ht="15" hidden="false" customHeight="false" outlineLevel="0" collapsed="false">
      <c r="A75" s="10" t="s">
        <v>122</v>
      </c>
      <c r="B75" s="10" t="s">
        <v>39</v>
      </c>
      <c r="C75" s="10" t="s">
        <v>90</v>
      </c>
      <c r="D75" s="11" t="n">
        <v>55</v>
      </c>
      <c r="E75" s="10" t="s">
        <v>30</v>
      </c>
      <c r="F75" s="10" t="s">
        <v>30</v>
      </c>
      <c r="G75" s="10" t="s">
        <v>98</v>
      </c>
      <c r="H75" s="12" t="n">
        <v>0.02</v>
      </c>
      <c r="I75" s="13" t="n">
        <v>1.81</v>
      </c>
      <c r="J75" s="13" t="n">
        <v>6.71</v>
      </c>
      <c r="K75" s="10" t="s">
        <v>42</v>
      </c>
    </row>
    <row r="76" customFormat="false" ht="15" hidden="false" customHeight="false" outlineLevel="0" collapsed="false">
      <c r="A76" s="10" t="s">
        <v>123</v>
      </c>
      <c r="B76" s="10" t="s">
        <v>102</v>
      </c>
      <c r="C76" s="10" t="s">
        <v>90</v>
      </c>
      <c r="D76" s="11" t="n">
        <v>55</v>
      </c>
      <c r="E76" s="10" t="s">
        <v>30</v>
      </c>
      <c r="F76" s="10" t="s">
        <v>30</v>
      </c>
      <c r="G76" s="10" t="s">
        <v>98</v>
      </c>
      <c r="H76" s="12" t="n">
        <v>0.02</v>
      </c>
      <c r="I76" s="13" t="n">
        <v>0.83</v>
      </c>
      <c r="J76" s="13" t="n">
        <v>5.91</v>
      </c>
      <c r="K76" s="10" t="s">
        <v>42</v>
      </c>
    </row>
    <row r="77" customFormat="false" ht="15" hidden="false" customHeight="false" outlineLevel="0" collapsed="false">
      <c r="A77" s="10" t="s">
        <v>124</v>
      </c>
      <c r="B77" s="10" t="s">
        <v>77</v>
      </c>
      <c r="C77" s="10" t="s">
        <v>90</v>
      </c>
      <c r="D77" s="11" t="n">
        <v>55</v>
      </c>
      <c r="E77" s="10" t="s">
        <v>30</v>
      </c>
      <c r="F77" s="10" t="s">
        <v>30</v>
      </c>
      <c r="G77" s="10" t="s">
        <v>41</v>
      </c>
      <c r="H77" s="12" t="n">
        <v>0.02</v>
      </c>
      <c r="I77" s="13"/>
      <c r="J77" s="13"/>
      <c r="K77" s="10" t="s">
        <v>42</v>
      </c>
    </row>
    <row r="78" customFormat="false" ht="15" hidden="false" customHeight="false" outlineLevel="0" collapsed="false">
      <c r="A78" s="10" t="s">
        <v>125</v>
      </c>
      <c r="B78" s="10" t="s">
        <v>28</v>
      </c>
      <c r="C78" s="10" t="s">
        <v>90</v>
      </c>
      <c r="D78" s="11" t="n">
        <v>55</v>
      </c>
      <c r="E78" s="10" t="s">
        <v>30</v>
      </c>
      <c r="F78" s="10" t="s">
        <v>30</v>
      </c>
      <c r="G78" s="10" t="s">
        <v>31</v>
      </c>
      <c r="H78" s="12"/>
      <c r="I78" s="13"/>
      <c r="J78" s="13"/>
      <c r="K78" s="10" t="s">
        <v>85</v>
      </c>
    </row>
    <row r="79" customFormat="false" ht="15" hidden="false" customHeight="false" outlineLevel="0" collapsed="false">
      <c r="A79" s="10" t="s">
        <v>126</v>
      </c>
      <c r="B79" s="10" t="s">
        <v>77</v>
      </c>
      <c r="C79" s="10" t="s">
        <v>90</v>
      </c>
      <c r="D79" s="11" t="n">
        <v>55</v>
      </c>
      <c r="E79" s="10" t="s">
        <v>30</v>
      </c>
      <c r="F79" s="10" t="s">
        <v>59</v>
      </c>
      <c r="G79" s="10" t="s">
        <v>31</v>
      </c>
      <c r="H79" s="12"/>
      <c r="I79" s="13"/>
      <c r="J79" s="13"/>
      <c r="K79" s="10" t="s">
        <v>42</v>
      </c>
    </row>
    <row r="80" customFormat="false" ht="15" hidden="false" customHeight="false" outlineLevel="0" collapsed="false">
      <c r="A80" s="10" t="s">
        <v>127</v>
      </c>
      <c r="B80" s="10" t="s">
        <v>77</v>
      </c>
      <c r="C80" s="10" t="s">
        <v>90</v>
      </c>
      <c r="D80" s="11" t="n">
        <v>55</v>
      </c>
      <c r="E80" s="10" t="s">
        <v>30</v>
      </c>
      <c r="F80" s="10" t="s">
        <v>30</v>
      </c>
      <c r="G80" s="10" t="s">
        <v>41</v>
      </c>
      <c r="H80" s="12"/>
      <c r="I80" s="13"/>
      <c r="J80" s="13"/>
      <c r="K80" s="10" t="s">
        <v>42</v>
      </c>
    </row>
    <row r="81" customFormat="false" ht="15" hidden="false" customHeight="false" outlineLevel="0" collapsed="false">
      <c r="A81" s="10" t="s">
        <v>128</v>
      </c>
      <c r="B81" s="10" t="s">
        <v>77</v>
      </c>
      <c r="C81" s="10" t="s">
        <v>90</v>
      </c>
      <c r="D81" s="11" t="n">
        <v>55</v>
      </c>
      <c r="E81" s="10" t="s">
        <v>30</v>
      </c>
      <c r="F81" s="10" t="s">
        <v>30</v>
      </c>
      <c r="G81" s="10" t="s">
        <v>31</v>
      </c>
      <c r="H81" s="12"/>
      <c r="I81" s="13"/>
      <c r="J81" s="13"/>
      <c r="K81" s="10" t="s">
        <v>42</v>
      </c>
    </row>
    <row r="82" customFormat="false" ht="15" hidden="false" customHeight="false" outlineLevel="0" collapsed="false">
      <c r="A82" s="10" t="s">
        <v>129</v>
      </c>
      <c r="B82" s="10" t="s">
        <v>77</v>
      </c>
      <c r="C82" s="10" t="s">
        <v>90</v>
      </c>
      <c r="D82" s="11" t="n">
        <v>55</v>
      </c>
      <c r="E82" s="10" t="s">
        <v>30</v>
      </c>
      <c r="F82" s="10" t="s">
        <v>30</v>
      </c>
      <c r="G82" s="10" t="s">
        <v>98</v>
      </c>
      <c r="H82" s="12"/>
      <c r="I82" s="13"/>
      <c r="J82" s="13"/>
      <c r="K82" s="10" t="s">
        <v>42</v>
      </c>
    </row>
    <row r="83" customFormat="false" ht="15" hidden="false" customHeight="false" outlineLevel="0" collapsed="false">
      <c r="A83" s="10" t="s">
        <v>130</v>
      </c>
      <c r="B83" s="10" t="s">
        <v>77</v>
      </c>
      <c r="C83" s="10" t="s">
        <v>90</v>
      </c>
      <c r="D83" s="11" t="n">
        <v>55</v>
      </c>
      <c r="E83" s="10" t="s">
        <v>30</v>
      </c>
      <c r="F83" s="10" t="s">
        <v>30</v>
      </c>
      <c r="G83" s="10" t="s">
        <v>31</v>
      </c>
      <c r="H83" s="12"/>
      <c r="I83" s="13"/>
      <c r="J83" s="13"/>
      <c r="K83" s="10" t="s">
        <v>42</v>
      </c>
    </row>
    <row r="84" customFormat="false" ht="15" hidden="false" customHeight="false" outlineLevel="0" collapsed="false">
      <c r="A84" s="10" t="s">
        <v>131</v>
      </c>
      <c r="B84" s="10" t="s">
        <v>77</v>
      </c>
      <c r="C84" s="10" t="s">
        <v>90</v>
      </c>
      <c r="D84" s="11" t="n">
        <v>55</v>
      </c>
      <c r="E84" s="10" t="s">
        <v>30</v>
      </c>
      <c r="F84" s="10" t="s">
        <v>30</v>
      </c>
      <c r="G84" s="10" t="s">
        <v>31</v>
      </c>
      <c r="H84" s="12"/>
      <c r="I84" s="13"/>
      <c r="J84" s="13"/>
      <c r="K84" s="10" t="s">
        <v>42</v>
      </c>
    </row>
    <row r="85" customFormat="false" ht="15" hidden="false" customHeight="false" outlineLevel="0" collapsed="false">
      <c r="A85" s="10" t="s">
        <v>132</v>
      </c>
      <c r="B85" s="10" t="s">
        <v>34</v>
      </c>
      <c r="C85" s="10" t="s">
        <v>90</v>
      </c>
      <c r="D85" s="11" t="n">
        <v>55</v>
      </c>
      <c r="E85" s="10" t="s">
        <v>30</v>
      </c>
      <c r="F85" s="10" t="s">
        <v>30</v>
      </c>
      <c r="G85" s="10" t="s">
        <v>41</v>
      </c>
      <c r="H85" s="12"/>
      <c r="I85" s="13" t="n">
        <v>3.69</v>
      </c>
      <c r="J85" s="13" t="n">
        <v>8.54</v>
      </c>
      <c r="K85" s="10" t="s">
        <v>51</v>
      </c>
    </row>
    <row r="86" customFormat="false" ht="15" hidden="false" customHeight="false" outlineLevel="0" collapsed="false">
      <c r="A86" s="10" t="s">
        <v>133</v>
      </c>
      <c r="B86" s="10" t="s">
        <v>34</v>
      </c>
      <c r="C86" s="10" t="s">
        <v>90</v>
      </c>
      <c r="D86" s="11" t="n">
        <v>55</v>
      </c>
      <c r="E86" s="10" t="s">
        <v>117</v>
      </c>
      <c r="F86" s="10" t="s">
        <v>30</v>
      </c>
      <c r="G86" s="10" t="s">
        <v>98</v>
      </c>
      <c r="H86" s="12"/>
      <c r="I86" s="13"/>
      <c r="J86" s="13"/>
      <c r="K86" s="10" t="s">
        <v>51</v>
      </c>
    </row>
    <row r="87" customFormat="false" ht="15" hidden="false" customHeight="false" outlineLevel="0" collapsed="false">
      <c r="A87" s="10" t="s">
        <v>134</v>
      </c>
      <c r="B87" s="10" t="s">
        <v>34</v>
      </c>
      <c r="C87" s="10" t="s">
        <v>90</v>
      </c>
      <c r="D87" s="11" t="n">
        <v>55</v>
      </c>
      <c r="E87" s="10" t="s">
        <v>30</v>
      </c>
      <c r="F87" s="10" t="s">
        <v>30</v>
      </c>
      <c r="G87" s="10" t="s">
        <v>31</v>
      </c>
      <c r="H87" s="12"/>
      <c r="I87" s="13"/>
      <c r="J87" s="13"/>
      <c r="K87" s="10" t="s">
        <v>85</v>
      </c>
    </row>
    <row r="88" customFormat="false" ht="15" hidden="false" customHeight="false" outlineLevel="0" collapsed="false">
      <c r="A88" s="10" t="s">
        <v>135</v>
      </c>
      <c r="B88" s="10" t="s">
        <v>34</v>
      </c>
      <c r="C88" s="10" t="s">
        <v>90</v>
      </c>
      <c r="D88" s="11" t="n">
        <v>55</v>
      </c>
      <c r="E88" s="10" t="s">
        <v>30</v>
      </c>
      <c r="F88" s="10" t="s">
        <v>30</v>
      </c>
      <c r="G88" s="10" t="s">
        <v>98</v>
      </c>
      <c r="H88" s="12"/>
      <c r="I88" s="13" t="n">
        <v>1.11</v>
      </c>
      <c r="J88" s="13" t="n">
        <v>3.46</v>
      </c>
      <c r="K88" s="10" t="s">
        <v>51</v>
      </c>
    </row>
    <row r="89" customFormat="false" ht="15" hidden="false" customHeight="false" outlineLevel="0" collapsed="false">
      <c r="A89" s="10" t="s">
        <v>136</v>
      </c>
      <c r="B89" s="10" t="s">
        <v>37</v>
      </c>
      <c r="C89" s="10" t="s">
        <v>90</v>
      </c>
      <c r="D89" s="11" t="n">
        <v>55</v>
      </c>
      <c r="E89" s="10" t="s">
        <v>30</v>
      </c>
      <c r="F89" s="10" t="s">
        <v>30</v>
      </c>
      <c r="G89" s="10" t="s">
        <v>31</v>
      </c>
      <c r="H89" s="12"/>
      <c r="I89" s="13"/>
      <c r="J89" s="13"/>
      <c r="K89" s="10" t="s">
        <v>46</v>
      </c>
    </row>
    <row r="90" customFormat="false" ht="15" hidden="false" customHeight="false" outlineLevel="0" collapsed="false">
      <c r="A90" s="10" t="s">
        <v>137</v>
      </c>
      <c r="B90" s="10" t="s">
        <v>102</v>
      </c>
      <c r="C90" s="10" t="s">
        <v>90</v>
      </c>
      <c r="D90" s="11" t="n">
        <v>55</v>
      </c>
      <c r="E90" s="10" t="s">
        <v>30</v>
      </c>
      <c r="F90" s="10" t="s">
        <v>30</v>
      </c>
      <c r="G90" s="10" t="s">
        <v>31</v>
      </c>
      <c r="H90" s="12"/>
      <c r="I90" s="13"/>
      <c r="J90" s="13"/>
      <c r="K90" s="10" t="s">
        <v>85</v>
      </c>
    </row>
    <row r="91" customFormat="false" ht="15" hidden="false" customHeight="false" outlineLevel="0" collapsed="false">
      <c r="A91" s="10" t="s">
        <v>138</v>
      </c>
      <c r="B91" s="10" t="s">
        <v>108</v>
      </c>
      <c r="C91" s="10" t="s">
        <v>90</v>
      </c>
      <c r="D91" s="11" t="n">
        <v>55</v>
      </c>
      <c r="E91" s="10" t="s">
        <v>30</v>
      </c>
      <c r="F91" s="10" t="s">
        <v>30</v>
      </c>
      <c r="G91" s="10" t="s">
        <v>31</v>
      </c>
      <c r="H91" s="12"/>
      <c r="I91" s="13"/>
      <c r="J91" s="13"/>
      <c r="K91" s="10" t="s">
        <v>85</v>
      </c>
    </row>
    <row r="92" customFormat="false" ht="15" hidden="false" customHeight="false" outlineLevel="0" collapsed="false">
      <c r="A92" s="10" t="s">
        <v>139</v>
      </c>
      <c r="B92" s="10" t="s">
        <v>140</v>
      </c>
      <c r="C92" s="10" t="s">
        <v>90</v>
      </c>
      <c r="D92" s="11" t="n">
        <v>55</v>
      </c>
      <c r="E92" s="10" t="s">
        <v>30</v>
      </c>
      <c r="F92" s="10" t="s">
        <v>30</v>
      </c>
      <c r="G92" s="10" t="s">
        <v>31</v>
      </c>
      <c r="H92" s="12"/>
      <c r="I92" s="13" t="n">
        <v>1.19</v>
      </c>
      <c r="J92" s="13" t="n">
        <v>5</v>
      </c>
      <c r="K92" s="10" t="s">
        <v>141</v>
      </c>
    </row>
    <row r="93" customFormat="false" ht="15" hidden="false" customHeight="false" outlineLevel="0" collapsed="false">
      <c r="A93" s="10" t="s">
        <v>142</v>
      </c>
      <c r="B93" s="10" t="s">
        <v>140</v>
      </c>
      <c r="C93" s="10" t="s">
        <v>90</v>
      </c>
      <c r="D93" s="11" t="n">
        <v>55</v>
      </c>
      <c r="E93" s="10" t="s">
        <v>30</v>
      </c>
      <c r="F93" s="10" t="s">
        <v>117</v>
      </c>
      <c r="G93" s="10" t="s">
        <v>41</v>
      </c>
      <c r="H93" s="12"/>
      <c r="I93" s="13"/>
      <c r="J93" s="13"/>
      <c r="K93" s="10" t="s">
        <v>141</v>
      </c>
    </row>
    <row r="94" customFormat="false" ht="15" hidden="false" customHeight="false" outlineLevel="0" collapsed="false">
      <c r="A94" s="10" t="s">
        <v>143</v>
      </c>
      <c r="B94" s="10" t="s">
        <v>140</v>
      </c>
      <c r="C94" s="10" t="s">
        <v>90</v>
      </c>
      <c r="D94" s="11" t="n">
        <v>55</v>
      </c>
      <c r="E94" s="10" t="s">
        <v>30</v>
      </c>
      <c r="F94" s="10" t="s">
        <v>30</v>
      </c>
      <c r="G94" s="10" t="s">
        <v>31</v>
      </c>
      <c r="H94" s="12"/>
      <c r="I94" s="13"/>
      <c r="J94" s="13"/>
      <c r="K94" s="10" t="s">
        <v>141</v>
      </c>
    </row>
    <row r="95" customFormat="false" ht="15" hidden="false" customHeight="false" outlineLevel="0" collapsed="false">
      <c r="A95" s="10" t="s">
        <v>144</v>
      </c>
      <c r="B95" s="10" t="s">
        <v>140</v>
      </c>
      <c r="C95" s="10" t="s">
        <v>90</v>
      </c>
      <c r="D95" s="11" t="n">
        <v>55</v>
      </c>
      <c r="E95" s="10" t="s">
        <v>30</v>
      </c>
      <c r="F95" s="10" t="s">
        <v>117</v>
      </c>
      <c r="G95" s="10" t="s">
        <v>31</v>
      </c>
      <c r="H95" s="12"/>
      <c r="I95" s="13"/>
      <c r="J95" s="13"/>
      <c r="K95" s="10" t="s">
        <v>46</v>
      </c>
    </row>
    <row r="96" customFormat="false" ht="15" hidden="false" customHeight="false" outlineLevel="0" collapsed="false">
      <c r="A96" s="10" t="s">
        <v>145</v>
      </c>
      <c r="B96" s="10" t="s">
        <v>77</v>
      </c>
      <c r="C96" s="10" t="s">
        <v>90</v>
      </c>
      <c r="D96" s="11" t="n">
        <v>55</v>
      </c>
      <c r="E96" s="10" t="s">
        <v>30</v>
      </c>
      <c r="F96" s="10" t="s">
        <v>30</v>
      </c>
      <c r="G96" s="10" t="s">
        <v>41</v>
      </c>
      <c r="H96" s="12"/>
      <c r="I96" s="13"/>
      <c r="J96" s="13"/>
      <c r="K96" s="10" t="s">
        <v>42</v>
      </c>
    </row>
    <row r="97" customFormat="false" ht="15" hidden="false" customHeight="false" outlineLevel="0" collapsed="false">
      <c r="A97" s="10" t="s">
        <v>146</v>
      </c>
      <c r="B97" s="10" t="s">
        <v>34</v>
      </c>
      <c r="C97" s="10" t="s">
        <v>90</v>
      </c>
      <c r="D97" s="11" t="n">
        <v>55</v>
      </c>
      <c r="E97" s="10" t="s">
        <v>30</v>
      </c>
      <c r="F97" s="10" t="s">
        <v>30</v>
      </c>
      <c r="G97" s="10" t="s">
        <v>31</v>
      </c>
      <c r="H97" s="12"/>
      <c r="I97" s="13"/>
      <c r="J97" s="13"/>
      <c r="K97" s="10" t="s">
        <v>51</v>
      </c>
    </row>
    <row r="98" customFormat="false" ht="15" hidden="false" customHeight="false" outlineLevel="0" collapsed="false">
      <c r="A98" s="10" t="s">
        <v>147</v>
      </c>
      <c r="B98" s="10" t="s">
        <v>93</v>
      </c>
      <c r="C98" s="10" t="s">
        <v>90</v>
      </c>
      <c r="D98" s="11" t="n">
        <v>55</v>
      </c>
      <c r="E98" s="10" t="s">
        <v>30</v>
      </c>
      <c r="F98" s="10" t="s">
        <v>30</v>
      </c>
      <c r="G98" s="10" t="s">
        <v>31</v>
      </c>
      <c r="H98" s="12"/>
      <c r="I98" s="13"/>
      <c r="J98" s="13"/>
      <c r="K98" s="10" t="s">
        <v>42</v>
      </c>
    </row>
    <row r="99" customFormat="false" ht="15" hidden="false" customHeight="false" outlineLevel="0" collapsed="false">
      <c r="A99" s="10" t="s">
        <v>148</v>
      </c>
      <c r="B99" s="10" t="s">
        <v>93</v>
      </c>
      <c r="C99" s="10" t="s">
        <v>90</v>
      </c>
      <c r="D99" s="11" t="n">
        <v>55</v>
      </c>
      <c r="E99" s="10" t="s">
        <v>30</v>
      </c>
      <c r="F99" s="10" t="s">
        <v>117</v>
      </c>
      <c r="G99" s="10" t="s">
        <v>31</v>
      </c>
      <c r="H99" s="12"/>
      <c r="I99" s="13"/>
      <c r="J99" s="13"/>
      <c r="K99" s="10" t="s">
        <v>42</v>
      </c>
    </row>
    <row r="100" customFormat="false" ht="15" hidden="false" customHeight="false" outlineLevel="0" collapsed="false">
      <c r="A100" s="10" t="s">
        <v>149</v>
      </c>
      <c r="B100" s="10" t="s">
        <v>28</v>
      </c>
      <c r="C100" s="10" t="s">
        <v>150</v>
      </c>
      <c r="D100" s="11"/>
      <c r="E100" s="10" t="s">
        <v>150</v>
      </c>
      <c r="F100" s="10" t="s">
        <v>150</v>
      </c>
      <c r="G100" s="10" t="s">
        <v>150</v>
      </c>
      <c r="H100" s="12"/>
      <c r="I100" s="13"/>
      <c r="J100" s="13"/>
      <c r="K100" s="10" t="s">
        <v>151</v>
      </c>
    </row>
    <row r="101" customFormat="false" ht="15" hidden="false" customHeight="false" outlineLevel="0" collapsed="false">
      <c r="A101" s="10" t="s">
        <v>152</v>
      </c>
      <c r="B101" s="10" t="s">
        <v>28</v>
      </c>
      <c r="C101" s="10" t="s">
        <v>150</v>
      </c>
      <c r="D101" s="11"/>
      <c r="E101" s="10" t="s">
        <v>150</v>
      </c>
      <c r="F101" s="10" t="s">
        <v>150</v>
      </c>
      <c r="G101" s="10" t="s">
        <v>150</v>
      </c>
      <c r="H101" s="12"/>
      <c r="I101" s="13"/>
      <c r="J101" s="13"/>
      <c r="K101" s="10" t="s">
        <v>151</v>
      </c>
    </row>
    <row r="102" customFormat="false" ht="15" hidden="false" customHeight="false" outlineLevel="0" collapsed="false">
      <c r="A102" s="10" t="s">
        <v>153</v>
      </c>
      <c r="B102" s="10" t="s">
        <v>28</v>
      </c>
      <c r="C102" s="10" t="s">
        <v>150</v>
      </c>
      <c r="D102" s="11"/>
      <c r="E102" s="10" t="s">
        <v>150</v>
      </c>
      <c r="F102" s="10" t="s">
        <v>150</v>
      </c>
      <c r="G102" s="10" t="s">
        <v>150</v>
      </c>
      <c r="H102" s="12"/>
      <c r="I102" s="13"/>
      <c r="J102" s="13"/>
      <c r="K102" s="10" t="s">
        <v>151</v>
      </c>
    </row>
    <row r="103" customFormat="false" ht="15" hidden="false" customHeight="false" outlineLevel="0" collapsed="false">
      <c r="A103" s="10" t="s">
        <v>154</v>
      </c>
      <c r="B103" s="10" t="s">
        <v>28</v>
      </c>
      <c r="C103" s="10" t="s">
        <v>150</v>
      </c>
      <c r="D103" s="11"/>
      <c r="E103" s="10" t="s">
        <v>150</v>
      </c>
      <c r="F103" s="10" t="s">
        <v>150</v>
      </c>
      <c r="G103" s="10" t="s">
        <v>150</v>
      </c>
      <c r="H103" s="12"/>
      <c r="I103" s="13"/>
      <c r="J103" s="13"/>
      <c r="K103" s="10" t="s">
        <v>151</v>
      </c>
    </row>
    <row r="104" customFormat="false" ht="15" hidden="false" customHeight="false" outlineLevel="0" collapsed="false">
      <c r="A104" s="10" t="s">
        <v>155</v>
      </c>
      <c r="B104" s="10" t="s">
        <v>28</v>
      </c>
      <c r="C104" s="10" t="s">
        <v>150</v>
      </c>
      <c r="D104" s="11"/>
      <c r="E104" s="10" t="s">
        <v>150</v>
      </c>
      <c r="F104" s="10" t="s">
        <v>150</v>
      </c>
      <c r="G104" s="10" t="s">
        <v>150</v>
      </c>
      <c r="H104" s="12"/>
      <c r="I104" s="13"/>
      <c r="J104" s="13"/>
      <c r="K104" s="10" t="s">
        <v>151</v>
      </c>
    </row>
    <row r="106" customFormat="false" ht="15" hidden="false" customHeight="false" outlineLevel="0" collapsed="false">
      <c r="A106" s="14" t="s">
        <v>156</v>
      </c>
    </row>
    <row r="107" customFormat="false" ht="15" hidden="false" customHeight="false" outlineLevel="0" collapsed="false">
      <c r="A107" s="15" t="s">
        <v>157</v>
      </c>
      <c r="B107" s="15" t="s">
        <v>158</v>
      </c>
      <c r="C107" s="15" t="s">
        <v>159</v>
      </c>
      <c r="D107" s="15" t="s">
        <v>160</v>
      </c>
      <c r="E107" s="15" t="s">
        <v>161</v>
      </c>
      <c r="F107" s="15" t="s">
        <v>162</v>
      </c>
    </row>
    <row r="108" customFormat="false" ht="15" hidden="false" customHeight="false" outlineLevel="0" collapsed="false">
      <c r="A108" s="16" t="s">
        <v>39</v>
      </c>
      <c r="B108" s="16" t="n">
        <f aca="false">COUNTIF($B$5:$B$104,A108)</f>
        <v>8</v>
      </c>
      <c r="C108" s="17" t="n">
        <f aca="false">SUMIF($B$5:$B$104,A108,$D$5:$D$104)</f>
        <v>13805</v>
      </c>
      <c r="D108" s="18" t="n">
        <f aca="false">IFERROR(SUMPRODUCT(MAX(($B$5:$B$104=A108)*$H$5:$H$104)),0)</f>
        <v>0.14</v>
      </c>
      <c r="E108" s="19" t="n">
        <f aca="false">IF(COUNTIFS($B$5:$B$104,A108,$I$5:$I$104,"&gt;0")=0,0,SUMPRODUCT(MIN(IF(($B$5:$B$104=A108)*($I$5:$I$104&gt;0),$I$5:$I$104,99))))</f>
        <v>1.18</v>
      </c>
      <c r="F108" s="19" t="n">
        <f aca="false">IFERROR(SUMPRODUCT(MAX(($B$5:$B$104=A108)*$J$5:$J$104)),0)</f>
        <v>8.41</v>
      </c>
    </row>
    <row r="109" customFormat="false" ht="15" hidden="false" customHeight="false" outlineLevel="0" collapsed="false">
      <c r="A109" s="16" t="s">
        <v>77</v>
      </c>
      <c r="B109" s="16" t="n">
        <f aca="false">COUNTIF($B$5:$B$104,A109)</f>
        <v>18</v>
      </c>
      <c r="C109" s="17" t="n">
        <f aca="false">SUMIF($B$5:$B$104,A109,$D$5:$D$104)</f>
        <v>1485</v>
      </c>
      <c r="D109" s="18" t="n">
        <f aca="false">IFERROR(SUMPRODUCT(MAX(($B$5:$B$104=A109)*$H$5:$H$104)),0)</f>
        <v>0.18</v>
      </c>
      <c r="E109" s="19" t="n">
        <f aca="false">IF(COUNTIFS($B$5:$B$104,A109,$I$5:$I$104,"&gt;0")=0,0,SUMPRODUCT(MIN(IF(($B$5:$B$104=A109)*($I$5:$I$104&gt;0),$I$5:$I$104,99))))</f>
        <v>1.07</v>
      </c>
      <c r="F109" s="19" t="n">
        <f aca="false">IFERROR(SUMPRODUCT(MAX(($B$5:$B$104=A109)*$J$5:$J$104)),0)</f>
        <v>5.69</v>
      </c>
    </row>
    <row r="110" customFormat="false" ht="15" hidden="false" customHeight="false" outlineLevel="0" collapsed="false">
      <c r="A110" s="16" t="s">
        <v>93</v>
      </c>
      <c r="B110" s="16" t="n">
        <f aca="false">COUNTIF($B$5:$B$104,A110)</f>
        <v>4</v>
      </c>
      <c r="C110" s="17" t="n">
        <f aca="false">SUMIF($B$5:$B$104,A110,$D$5:$D$104)</f>
        <v>220</v>
      </c>
      <c r="D110" s="18" t="n">
        <f aca="false">IFERROR(SUMPRODUCT(MAX(($B$5:$B$104=A110)*$H$5:$H$104)),0)</f>
        <v>0.18</v>
      </c>
      <c r="E110" s="19" t="n">
        <f aca="false">IF(COUNTIFS($B$5:$B$104,A110,$I$5:$I$104,"&gt;0")=0,0,SUMPRODUCT(MIN(IF(($B$5:$B$104=A110)*($I$5:$I$104&gt;0),$I$5:$I$104,99))))</f>
        <v>0</v>
      </c>
      <c r="F110" s="19" t="n">
        <f aca="false">IFERROR(SUMPRODUCT(MAX(($B$5:$B$104=A110)*$J$5:$J$104)),0)</f>
        <v>0</v>
      </c>
    </row>
    <row r="111" customFormat="false" ht="15" hidden="false" customHeight="false" outlineLevel="0" collapsed="false">
      <c r="A111" s="16" t="s">
        <v>37</v>
      </c>
      <c r="B111" s="16" t="n">
        <f aca="false">COUNTIF($B$5:$B$104,A111)</f>
        <v>6</v>
      </c>
      <c r="C111" s="17" t="n">
        <f aca="false">SUMIF($B$5:$B$104,A111,$D$5:$D$104)</f>
        <v>57255</v>
      </c>
      <c r="D111" s="18" t="n">
        <f aca="false">IFERROR(SUMPRODUCT(MAX(($B$5:$B$104=A111)*$H$5:$H$104)),0)</f>
        <v>0.21</v>
      </c>
      <c r="E111" s="19" t="n">
        <f aca="false">IF(COUNTIFS($B$5:$B$104,A111,$I$5:$I$104,"&gt;0")=0,0,SUMPRODUCT(MIN(IF(($B$5:$B$104=A111)*($I$5:$I$104&gt;0),$I$5:$I$104,99))))</f>
        <v>1.37</v>
      </c>
      <c r="F111" s="19" t="n">
        <f aca="false">IFERROR(SUMPRODUCT(MAX(($B$5:$B$104=A111)*$J$5:$J$104)),0)</f>
        <v>5.46</v>
      </c>
    </row>
    <row r="112" customFormat="false" ht="15" hidden="false" customHeight="false" outlineLevel="0" collapsed="false">
      <c r="A112" s="16" t="s">
        <v>28</v>
      </c>
      <c r="B112" s="16" t="n">
        <f aca="false">COUNTIF($B$5:$B$104,A112)</f>
        <v>23</v>
      </c>
      <c r="C112" s="17" t="n">
        <f aca="false">SUMIF($B$5:$B$104,A112,$D$5:$D$104)</f>
        <v>74745</v>
      </c>
      <c r="D112" s="18" t="n">
        <f aca="false">IFERROR(SUMPRODUCT(MAX(($B$5:$B$104=A112)*$H$5:$H$104)),0)</f>
        <v>0.2</v>
      </c>
      <c r="E112" s="19" t="n">
        <f aca="false">IF(COUNTIFS($B$5:$B$104,A112,$I$5:$I$104,"&gt;0")=0,0,SUMPRODUCT(MIN(IF(($B$5:$B$104=A112)*($I$5:$I$104&gt;0),$I$5:$I$104,99))))</f>
        <v>1.11</v>
      </c>
      <c r="F112" s="19" t="n">
        <f aca="false">IFERROR(SUMPRODUCT(MAX(($B$5:$B$104=A112)*$J$5:$J$104)),0)</f>
        <v>8.23</v>
      </c>
    </row>
    <row r="113" customFormat="false" ht="15" hidden="false" customHeight="false" outlineLevel="0" collapsed="false">
      <c r="A113" s="16" t="s">
        <v>102</v>
      </c>
      <c r="B113" s="16" t="n">
        <f aca="false">COUNTIF($B$5:$B$104,A113)</f>
        <v>4</v>
      </c>
      <c r="C113" s="17" t="n">
        <f aca="false">SUMIF($B$5:$B$104,A113,$D$5:$D$104)</f>
        <v>220</v>
      </c>
      <c r="D113" s="18" t="n">
        <f aca="false">IFERROR(SUMPRODUCT(MAX(($B$5:$B$104=A113)*$H$5:$H$104)),0)</f>
        <v>0.1</v>
      </c>
      <c r="E113" s="19" t="n">
        <f aca="false">IF(COUNTIFS($B$5:$B$104,A113,$I$5:$I$104,"&gt;0")=0,0,SUMPRODUCT(MIN(IF(($B$5:$B$104=A113)*($I$5:$I$104&gt;0),$I$5:$I$104,99))))</f>
        <v>0.83</v>
      </c>
      <c r="F113" s="19" t="n">
        <f aca="false">IFERROR(SUMPRODUCT(MAX(($B$5:$B$104=A113)*$J$5:$J$104)),0)</f>
        <v>5.91</v>
      </c>
    </row>
    <row r="114" customFormat="false" ht="15" hidden="false" customHeight="false" outlineLevel="0" collapsed="false">
      <c r="A114" s="16" t="s">
        <v>34</v>
      </c>
      <c r="B114" s="16" t="n">
        <f aca="false">COUNTIF($B$5:$B$104,A114)</f>
        <v>16</v>
      </c>
      <c r="C114" s="17" t="n">
        <f aca="false">SUMIF($B$5:$B$104,A114,$D$5:$D$104)</f>
        <v>75625</v>
      </c>
      <c r="D114" s="18" t="n">
        <f aca="false">IFERROR(SUMPRODUCT(MAX(($B$5:$B$104=A114)*$H$5:$H$104)),0)</f>
        <v>0.05</v>
      </c>
      <c r="E114" s="19" t="n">
        <f aca="false">IF(COUNTIFS($B$5:$B$104,A114,$I$5:$I$104,"&gt;0")=0,0,SUMPRODUCT(MIN(IF(($B$5:$B$104=A114)*($I$5:$I$104&gt;0),$I$5:$I$104,99))))</f>
        <v>0.91</v>
      </c>
      <c r="F114" s="19" t="n">
        <f aca="false">IFERROR(SUMPRODUCT(MAX(($B$5:$B$104=A114)*$J$5:$J$104)),0)</f>
        <v>8.54</v>
      </c>
    </row>
    <row r="115" customFormat="false" ht="15" hidden="false" customHeight="false" outlineLevel="0" collapsed="false">
      <c r="A115" s="16" t="s">
        <v>48</v>
      </c>
      <c r="B115" s="16" t="n">
        <f aca="false">COUNTIF($B$5:$B$104,A115)</f>
        <v>12</v>
      </c>
      <c r="C115" s="17" t="n">
        <f aca="false">SUMIF($B$5:$B$104,A115,$D$5:$D$104)</f>
        <v>10560</v>
      </c>
      <c r="D115" s="18" t="n">
        <f aca="false">IFERROR(SUMPRODUCT(MAX(($B$5:$B$104=A115)*$H$5:$H$104)),0)</f>
        <v>0.04</v>
      </c>
      <c r="E115" s="19" t="n">
        <f aca="false">IF(COUNTIFS($B$5:$B$104,A115,$I$5:$I$104,"&gt;0")=0,0,SUMPRODUCT(MIN(IF(($B$5:$B$104=A115)*($I$5:$I$104&gt;0),$I$5:$I$104,99))))</f>
        <v>0.88</v>
      </c>
      <c r="F115" s="19" t="n">
        <f aca="false">IFERROR(SUMPRODUCT(MAX(($B$5:$B$104=A115)*$J$5:$J$104)),0)</f>
        <v>5.1</v>
      </c>
    </row>
    <row r="116" customFormat="false" ht="15" hidden="false" customHeight="false" outlineLevel="0" collapsed="false">
      <c r="A116" s="16" t="s">
        <v>108</v>
      </c>
      <c r="B116" s="16" t="n">
        <f aca="false">COUNTIF($B$5:$B$104,A116)</f>
        <v>5</v>
      </c>
      <c r="C116" s="17" t="n">
        <f aca="false">SUMIF($B$5:$B$104,A116,$D$5:$D$104)</f>
        <v>275</v>
      </c>
      <c r="D116" s="18" t="n">
        <f aca="false">IFERROR(SUMPRODUCT(MAX(($B$5:$B$104=A116)*$H$5:$H$104)),0)</f>
        <v>0.08</v>
      </c>
      <c r="E116" s="19" t="n">
        <f aca="false">IF(COUNTIFS($B$5:$B$104,A116,$I$5:$I$104,"&gt;0")=0,0,SUMPRODUCT(MIN(IF(($B$5:$B$104=A116)*($I$5:$I$104&gt;0),$I$5:$I$104,99))))</f>
        <v>1.99</v>
      </c>
      <c r="F116" s="19" t="n">
        <f aca="false">IFERROR(SUMPRODUCT(MAX(($B$5:$B$104=A116)*$J$5:$J$104)),0)</f>
        <v>6.67</v>
      </c>
    </row>
    <row r="117" customFormat="false" ht="15" hidden="false" customHeight="false" outlineLevel="0" collapsed="false">
      <c r="A117" s="16" t="s">
        <v>140</v>
      </c>
      <c r="B117" s="16" t="n">
        <f aca="false">COUNTIF($B$5:$B$104,A117)</f>
        <v>4</v>
      </c>
      <c r="C117" s="17" t="n">
        <f aca="false">SUMIF($B$5:$B$104,A117,$D$5:$D$104)</f>
        <v>220</v>
      </c>
      <c r="D117" s="18" t="n">
        <f aca="false">IFERROR(SUMPRODUCT(MAX(($B$5:$B$104=A117)*$H$5:$H$104)),0)</f>
        <v>0</v>
      </c>
      <c r="E117" s="19" t="n">
        <f aca="false">IF(COUNTIFS($B$5:$B$104,A117,$I$5:$I$104,"&gt;0")=0,0,SUMPRODUCT(MIN(IF(($B$5:$B$104=A117)*($I$5:$I$104&gt;0),$I$5:$I$104,99))))</f>
        <v>1.19</v>
      </c>
      <c r="F117" s="19" t="n">
        <f aca="false">IFERROR(SUMPRODUCT(MAX(($B$5:$B$104=A117)*$J$5:$J$104)),0)</f>
        <v>5</v>
      </c>
    </row>
  </sheetData>
  <autoFilter ref="A4:K104"/>
  <mergeCells count="1">
    <mergeCell ref="A2:K2"/>
  </mergeCells>
  <conditionalFormatting sqref="D5:D104">
    <cfRule type="dataBar" priority="2">
      <dataBar showValue="1" minLength="10" maxLength="90">
        <cfvo type="num" val="0"/>
        <cfvo type="max" val="0"/>
        <color rgb="FF5B9BD5"/>
      </dataBar>
      <extLst>
        <ext xmlns:x14="http://schemas.microsoft.com/office/spreadsheetml/2009/9/main" uri="{B025F937-C7B1-47D3-B67F-A62EFF666E3E}">
          <x14:id>{89465078-13AD-484A-AAA1-F09340CBB271}</x14:id>
        </ext>
      </extLst>
    </cfRule>
  </conditionalFormatting>
  <conditionalFormatting sqref="H5:H104">
    <cfRule type="colorScale" priority="3">
      <colorScale>
        <cfvo type="num" val="0"/>
        <cfvo type="max" val="0"/>
        <color rgb="FFFFFFFF"/>
        <color rgb="FF63BE7B"/>
      </colorScale>
    </cfRule>
  </conditionalFormatting>
  <conditionalFormatting sqref="I5:J104">
    <cfRule type="colorScale" priority="4">
      <colorScale>
        <cfvo type="min" val="0"/>
        <cfvo type="max" val="0"/>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9465078-13AD-484A-AAA1-F09340CBB271}">
            <x14:dataBar minLength="10" maxLength="90" axisPosition="none" gradient="true">
              <x14:cfvo type="num">
                <xm:f>0</xm:f>
              </x14:cfvo>
              <x14:cfvo type="max"/>
              <x14:negativeFillColor rgb="FF5B9BD5"/>
              <x14:axisColor rgb="FF000000"/>
            </x14:dataBar>
          </x14:cfRule>
          <xm:sqref>D5:D104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O1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6" min="3" style="0" width="10"/>
    <col collapsed="false" customWidth="true" hidden="false" outlineLevel="0" max="9" min="7" style="0" width="12"/>
    <col collapsed="false" customWidth="true" hidden="false" outlineLevel="0" max="10" min="10" style="0" width="16"/>
    <col collapsed="false" customWidth="true" hidden="false" outlineLevel="0" max="11" min="11" style="0" width="26"/>
    <col collapsed="false" customWidth="true" hidden="false" outlineLevel="0" max="12" min="12" style="0" width="14"/>
    <col collapsed="false" customWidth="true" hidden="false" outlineLevel="0" max="13" min="13" style="0" width="10"/>
    <col collapsed="false" customWidth="true" hidden="false" outlineLevel="0" max="14" min="14" style="0" width="14"/>
    <col collapsed="false" customWidth="true" hidden="false" outlineLevel="0" max="15" min="15" style="0" width="60"/>
  </cols>
  <sheetData>
    <row r="1" customFormat="false" ht="17.15" hidden="false" customHeight="false" outlineLevel="0" collapsed="false">
      <c r="A1" s="7" t="s">
        <v>163</v>
      </c>
    </row>
    <row r="2" customFormat="false" ht="45" hidden="false" customHeight="true" outlineLevel="0" collapsed="false">
      <c r="A2" s="8" t="s">
        <v>164</v>
      </c>
      <c r="B2" s="8"/>
      <c r="C2" s="8"/>
      <c r="D2" s="8"/>
      <c r="E2" s="8"/>
      <c r="F2" s="8"/>
      <c r="G2" s="8"/>
      <c r="H2" s="8"/>
      <c r="I2" s="8"/>
      <c r="J2" s="8"/>
      <c r="K2" s="8"/>
      <c r="L2" s="8"/>
      <c r="M2" s="8"/>
      <c r="N2" s="8"/>
      <c r="O2" s="8"/>
    </row>
    <row r="4" customFormat="false" ht="39.55" hidden="false" customHeight="false" outlineLevel="0" collapsed="false">
      <c r="A4" s="9" t="s">
        <v>16</v>
      </c>
      <c r="B4" s="9" t="s">
        <v>18</v>
      </c>
      <c r="C4" s="9" t="s">
        <v>19</v>
      </c>
      <c r="D4" s="9" t="s">
        <v>20</v>
      </c>
      <c r="E4" s="9" t="s">
        <v>21</v>
      </c>
      <c r="F4" s="9" t="s">
        <v>22</v>
      </c>
      <c r="G4" s="9" t="s">
        <v>165</v>
      </c>
      <c r="H4" s="9" t="s">
        <v>166</v>
      </c>
      <c r="I4" s="9" t="s">
        <v>167</v>
      </c>
      <c r="J4" s="9" t="s">
        <v>168</v>
      </c>
      <c r="K4" s="9" t="s">
        <v>157</v>
      </c>
      <c r="L4" s="9" t="s">
        <v>169</v>
      </c>
      <c r="M4" s="9" t="s">
        <v>170</v>
      </c>
      <c r="N4" s="9" t="s">
        <v>171</v>
      </c>
      <c r="O4" s="9" t="s">
        <v>172</v>
      </c>
    </row>
    <row r="5" customFormat="false" ht="15" hidden="false" customHeight="false" outlineLevel="0" collapsed="false">
      <c r="A5" s="20" t="s">
        <v>43</v>
      </c>
      <c r="B5" s="20" t="s">
        <v>40</v>
      </c>
      <c r="C5" s="21" t="n">
        <v>5500</v>
      </c>
      <c r="D5" s="20" t="s">
        <v>30</v>
      </c>
      <c r="E5" s="20" t="s">
        <v>30</v>
      </c>
      <c r="F5" s="20" t="s">
        <v>31</v>
      </c>
      <c r="G5" s="22" t="n">
        <v>0.05</v>
      </c>
      <c r="H5" s="20"/>
      <c r="I5" s="20"/>
      <c r="J5" s="20" t="s">
        <v>173</v>
      </c>
      <c r="K5" s="20" t="s">
        <v>174</v>
      </c>
      <c r="L5" s="20" t="s">
        <v>175</v>
      </c>
      <c r="M5" s="20" t="n">
        <v>2.5</v>
      </c>
      <c r="N5" s="20" t="s">
        <v>42</v>
      </c>
      <c r="O5" s="20" t="s">
        <v>176</v>
      </c>
    </row>
    <row r="6" customFormat="false" ht="15" hidden="false" customHeight="false" outlineLevel="0" collapsed="false">
      <c r="A6" s="20" t="s">
        <v>49</v>
      </c>
      <c r="B6" s="20" t="s">
        <v>40</v>
      </c>
      <c r="C6" s="21" t="n">
        <v>5500</v>
      </c>
      <c r="D6" s="20" t="s">
        <v>30</v>
      </c>
      <c r="E6" s="20" t="s">
        <v>30</v>
      </c>
      <c r="F6" s="20" t="s">
        <v>31</v>
      </c>
      <c r="G6" s="22" t="n">
        <v>0.02</v>
      </c>
      <c r="H6" s="20" t="n">
        <v>1.71</v>
      </c>
      <c r="I6" s="20" t="n">
        <v>4.85</v>
      </c>
      <c r="J6" s="20" t="s">
        <v>173</v>
      </c>
      <c r="K6" s="20" t="s">
        <v>174</v>
      </c>
      <c r="L6" s="20" t="s">
        <v>175</v>
      </c>
      <c r="M6" s="20" t="n">
        <v>2.5</v>
      </c>
      <c r="N6" s="20" t="s">
        <v>42</v>
      </c>
      <c r="O6" s="20" t="s">
        <v>176</v>
      </c>
    </row>
    <row r="7" customFormat="false" ht="15" hidden="false" customHeight="false" outlineLevel="0" collapsed="false">
      <c r="A7" s="20" t="s">
        <v>52</v>
      </c>
      <c r="B7" s="20" t="s">
        <v>40</v>
      </c>
      <c r="C7" s="21" t="n">
        <v>5500</v>
      </c>
      <c r="D7" s="20" t="s">
        <v>53</v>
      </c>
      <c r="E7" s="20" t="s">
        <v>30</v>
      </c>
      <c r="F7" s="20" t="s">
        <v>31</v>
      </c>
      <c r="G7" s="22" t="n">
        <v>0.01</v>
      </c>
      <c r="H7" s="20" t="n">
        <v>1.32</v>
      </c>
      <c r="I7" s="20" t="n">
        <v>4.87</v>
      </c>
      <c r="J7" s="20" t="s">
        <v>173</v>
      </c>
      <c r="K7" s="20" t="s">
        <v>174</v>
      </c>
      <c r="L7" s="20" t="s">
        <v>175</v>
      </c>
      <c r="M7" s="20" t="n">
        <v>2.5</v>
      </c>
      <c r="N7" s="20" t="s">
        <v>42</v>
      </c>
      <c r="O7" s="20" t="s">
        <v>176</v>
      </c>
    </row>
    <row r="8" customFormat="false" ht="15" hidden="false" customHeight="false" outlineLevel="0" collapsed="false">
      <c r="A8" s="20" t="s">
        <v>61</v>
      </c>
      <c r="B8" s="20" t="s">
        <v>56</v>
      </c>
      <c r="C8" s="21" t="n">
        <v>550</v>
      </c>
      <c r="D8" s="20" t="s">
        <v>30</v>
      </c>
      <c r="E8" s="20" t="s">
        <v>30</v>
      </c>
      <c r="F8" s="20" t="s">
        <v>31</v>
      </c>
      <c r="G8" s="22" t="n">
        <v>0.07</v>
      </c>
      <c r="H8" s="20" t="n">
        <v>1.69</v>
      </c>
      <c r="I8" s="20" t="n">
        <v>6.72</v>
      </c>
      <c r="J8" s="20" t="s">
        <v>173</v>
      </c>
      <c r="K8" s="20" t="s">
        <v>174</v>
      </c>
      <c r="L8" s="20" t="s">
        <v>175</v>
      </c>
      <c r="M8" s="20" t="n">
        <v>2.5</v>
      </c>
      <c r="N8" s="20" t="s">
        <v>42</v>
      </c>
      <c r="O8" s="20" t="s">
        <v>176</v>
      </c>
    </row>
    <row r="9" customFormat="false" ht="15" hidden="false" customHeight="false" outlineLevel="0" collapsed="false">
      <c r="A9" s="20" t="s">
        <v>68</v>
      </c>
      <c r="B9" s="20" t="s">
        <v>56</v>
      </c>
      <c r="C9" s="21" t="n">
        <v>550</v>
      </c>
      <c r="D9" s="20" t="s">
        <v>30</v>
      </c>
      <c r="E9" s="20" t="s">
        <v>30</v>
      </c>
      <c r="F9" s="20" t="s">
        <v>31</v>
      </c>
      <c r="G9" s="22" t="n">
        <v>0.03</v>
      </c>
      <c r="H9" s="20" t="n">
        <v>1.41</v>
      </c>
      <c r="I9" s="20" t="n">
        <v>3.72</v>
      </c>
      <c r="J9" s="20" t="s">
        <v>173</v>
      </c>
      <c r="K9" s="20" t="s">
        <v>174</v>
      </c>
      <c r="L9" s="20" t="s">
        <v>175</v>
      </c>
      <c r="M9" s="20" t="n">
        <v>2.5</v>
      </c>
      <c r="N9" s="20" t="s">
        <v>42</v>
      </c>
      <c r="O9" s="20" t="s">
        <v>176</v>
      </c>
    </row>
    <row r="10" customFormat="false" ht="15" hidden="false" customHeight="false" outlineLevel="0" collapsed="false">
      <c r="A10" s="20" t="s">
        <v>73</v>
      </c>
      <c r="B10" s="20" t="s">
        <v>56</v>
      </c>
      <c r="C10" s="21" t="n">
        <v>550</v>
      </c>
      <c r="D10" s="20" t="s">
        <v>30</v>
      </c>
      <c r="E10" s="20" t="s">
        <v>30</v>
      </c>
      <c r="F10" s="20" t="s">
        <v>41</v>
      </c>
      <c r="G10" s="22" t="n">
        <v>0.02</v>
      </c>
      <c r="H10" s="20" t="n">
        <v>1.67</v>
      </c>
      <c r="I10" s="20" t="n">
        <v>4.28</v>
      </c>
      <c r="J10" s="20" t="s">
        <v>173</v>
      </c>
      <c r="K10" s="20" t="s">
        <v>174</v>
      </c>
      <c r="L10" s="20" t="s">
        <v>175</v>
      </c>
      <c r="M10" s="20" t="n">
        <v>2.5</v>
      </c>
      <c r="N10" s="20" t="s">
        <v>42</v>
      </c>
      <c r="O10" s="20" t="s">
        <v>176</v>
      </c>
    </row>
    <row r="11" customFormat="false" ht="15" hidden="false" customHeight="false" outlineLevel="0" collapsed="false">
      <c r="A11" s="20" t="s">
        <v>78</v>
      </c>
      <c r="B11" s="20" t="s">
        <v>56</v>
      </c>
      <c r="C11" s="21" t="n">
        <v>550</v>
      </c>
      <c r="D11" s="20" t="s">
        <v>30</v>
      </c>
      <c r="E11" s="20" t="s">
        <v>30</v>
      </c>
      <c r="F11" s="20" t="s">
        <v>31</v>
      </c>
      <c r="G11" s="22" t="n">
        <v>0.01</v>
      </c>
      <c r="H11" s="20" t="n">
        <v>1.53</v>
      </c>
      <c r="I11" s="20" t="n">
        <v>6.94</v>
      </c>
      <c r="J11" s="20" t="s">
        <v>173</v>
      </c>
      <c r="K11" s="20" t="s">
        <v>174</v>
      </c>
      <c r="L11" s="20" t="s">
        <v>175</v>
      </c>
      <c r="M11" s="20" t="n">
        <v>2.5</v>
      </c>
      <c r="N11" s="20" t="s">
        <v>42</v>
      </c>
      <c r="O11" s="20" t="s">
        <v>176</v>
      </c>
    </row>
    <row r="12" customFormat="false" ht="15" hidden="false" customHeight="false" outlineLevel="0" collapsed="false">
      <c r="A12" s="20" t="s">
        <v>80</v>
      </c>
      <c r="B12" s="20" t="s">
        <v>56</v>
      </c>
      <c r="C12" s="21" t="n">
        <v>550</v>
      </c>
      <c r="D12" s="20" t="s">
        <v>30</v>
      </c>
      <c r="E12" s="20" t="s">
        <v>30</v>
      </c>
      <c r="F12" s="20" t="s">
        <v>41</v>
      </c>
      <c r="G12" s="22" t="n">
        <v>0.005</v>
      </c>
      <c r="H12" s="20"/>
      <c r="I12" s="20"/>
      <c r="J12" s="20" t="s">
        <v>173</v>
      </c>
      <c r="K12" s="20" t="s">
        <v>174</v>
      </c>
      <c r="L12" s="20" t="s">
        <v>175</v>
      </c>
      <c r="M12" s="20" t="n">
        <v>2.5</v>
      </c>
      <c r="N12" s="20" t="s">
        <v>42</v>
      </c>
      <c r="O12" s="20" t="s">
        <v>176</v>
      </c>
    </row>
    <row r="13" customFormat="false" ht="15" hidden="false" customHeight="false" outlineLevel="0" collapsed="false">
      <c r="A13" s="20" t="s">
        <v>89</v>
      </c>
      <c r="B13" s="20" t="s">
        <v>90</v>
      </c>
      <c r="C13" s="21" t="n">
        <v>55</v>
      </c>
      <c r="D13" s="20" t="s">
        <v>30</v>
      </c>
      <c r="E13" s="20" t="s">
        <v>59</v>
      </c>
      <c r="F13" s="20" t="s">
        <v>41</v>
      </c>
      <c r="G13" s="22" t="n">
        <v>0.2</v>
      </c>
      <c r="H13" s="20" t="n">
        <v>2.92</v>
      </c>
      <c r="I13" s="20" t="n">
        <v>5.99</v>
      </c>
      <c r="J13" s="20" t="s">
        <v>173</v>
      </c>
      <c r="K13" s="20" t="s">
        <v>174</v>
      </c>
      <c r="L13" s="20" t="s">
        <v>175</v>
      </c>
      <c r="M13" s="20" t="n">
        <v>2.5</v>
      </c>
      <c r="N13" s="20" t="s">
        <v>42</v>
      </c>
      <c r="O13" s="20" t="s">
        <v>176</v>
      </c>
    </row>
    <row r="14" customFormat="false" ht="15" hidden="false" customHeight="false" outlineLevel="0" collapsed="false">
      <c r="A14" s="20" t="s">
        <v>97</v>
      </c>
      <c r="B14" s="20" t="s">
        <v>90</v>
      </c>
      <c r="C14" s="21" t="n">
        <v>55</v>
      </c>
      <c r="D14" s="20" t="s">
        <v>30</v>
      </c>
      <c r="E14" s="20" t="s">
        <v>30</v>
      </c>
      <c r="F14" s="20" t="s">
        <v>98</v>
      </c>
      <c r="G14" s="22" t="n">
        <v>0.12</v>
      </c>
      <c r="H14" s="20" t="n">
        <v>1.11</v>
      </c>
      <c r="I14" s="20" t="n">
        <v>4.87</v>
      </c>
      <c r="J14" s="20" t="s">
        <v>173</v>
      </c>
      <c r="K14" s="20" t="s">
        <v>174</v>
      </c>
      <c r="L14" s="20" t="s">
        <v>177</v>
      </c>
      <c r="M14" s="20" t="n">
        <v>2</v>
      </c>
      <c r="N14" s="20" t="s">
        <v>42</v>
      </c>
      <c r="O14" s="20" t="s">
        <v>178</v>
      </c>
    </row>
    <row r="15" customFormat="false" ht="15" hidden="false" customHeight="false" outlineLevel="0" collapsed="false">
      <c r="A15" s="20" t="s">
        <v>104</v>
      </c>
      <c r="B15" s="20" t="s">
        <v>90</v>
      </c>
      <c r="C15" s="21" t="n">
        <v>55</v>
      </c>
      <c r="D15" s="20" t="s">
        <v>30</v>
      </c>
      <c r="E15" s="20" t="s">
        <v>30</v>
      </c>
      <c r="F15" s="20" t="s">
        <v>98</v>
      </c>
      <c r="G15" s="22" t="n">
        <v>0.08</v>
      </c>
      <c r="H15" s="20" t="n">
        <v>1.37</v>
      </c>
      <c r="I15" s="20" t="n">
        <v>5</v>
      </c>
      <c r="J15" s="20" t="s">
        <v>173</v>
      </c>
      <c r="K15" s="20" t="s">
        <v>174</v>
      </c>
      <c r="L15" s="20" t="s">
        <v>175</v>
      </c>
      <c r="M15" s="20" t="n">
        <v>2.5</v>
      </c>
      <c r="N15" s="20" t="s">
        <v>42</v>
      </c>
      <c r="O15" s="20" t="s">
        <v>176</v>
      </c>
    </row>
    <row r="16" customFormat="false" ht="15" hidden="false" customHeight="false" outlineLevel="0" collapsed="false">
      <c r="A16" s="20" t="s">
        <v>110</v>
      </c>
      <c r="B16" s="20" t="s">
        <v>90</v>
      </c>
      <c r="C16" s="21" t="n">
        <v>55</v>
      </c>
      <c r="D16" s="20" t="s">
        <v>53</v>
      </c>
      <c r="E16" s="20" t="s">
        <v>53</v>
      </c>
      <c r="F16" s="20" t="s">
        <v>31</v>
      </c>
      <c r="G16" s="22" t="n">
        <v>0.07</v>
      </c>
      <c r="H16" s="20" t="n">
        <v>2.58</v>
      </c>
      <c r="I16" s="20" t="n">
        <v>8.23</v>
      </c>
      <c r="J16" s="20" t="s">
        <v>173</v>
      </c>
      <c r="K16" s="20" t="s">
        <v>174</v>
      </c>
      <c r="L16" s="20" t="s">
        <v>175</v>
      </c>
      <c r="M16" s="20" t="n">
        <v>2.5</v>
      </c>
      <c r="N16" s="20" t="s">
        <v>42</v>
      </c>
      <c r="O16" s="20" t="s">
        <v>176</v>
      </c>
    </row>
    <row r="17" customFormat="false" ht="15" hidden="false" customHeight="false" outlineLevel="0" collapsed="false">
      <c r="A17" s="20" t="s">
        <v>111</v>
      </c>
      <c r="B17" s="20" t="s">
        <v>90</v>
      </c>
      <c r="C17" s="21" t="n">
        <v>55</v>
      </c>
      <c r="D17" s="20" t="s">
        <v>59</v>
      </c>
      <c r="E17" s="20" t="s">
        <v>30</v>
      </c>
      <c r="F17" s="20" t="s">
        <v>41</v>
      </c>
      <c r="G17" s="22" t="n">
        <v>0.06</v>
      </c>
      <c r="H17" s="20" t="n">
        <v>1.52</v>
      </c>
      <c r="I17" s="20" t="n">
        <v>5.05</v>
      </c>
      <c r="J17" s="20" t="s">
        <v>173</v>
      </c>
      <c r="K17" s="20" t="s">
        <v>174</v>
      </c>
      <c r="L17" s="20" t="s">
        <v>175</v>
      </c>
      <c r="M17" s="20" t="n">
        <v>2.5</v>
      </c>
      <c r="N17" s="20" t="s">
        <v>42</v>
      </c>
      <c r="O17" s="20" t="s">
        <v>176</v>
      </c>
    </row>
    <row r="18" customFormat="false" ht="15" hidden="false" customHeight="false" outlineLevel="0" collapsed="false">
      <c r="A18" s="20" t="s">
        <v>112</v>
      </c>
      <c r="B18" s="20" t="s">
        <v>90</v>
      </c>
      <c r="C18" s="21" t="n">
        <v>55</v>
      </c>
      <c r="D18" s="20" t="s">
        <v>30</v>
      </c>
      <c r="E18" s="20" t="s">
        <v>30</v>
      </c>
      <c r="F18" s="20" t="s">
        <v>98</v>
      </c>
      <c r="G18" s="22" t="n">
        <v>0.04</v>
      </c>
      <c r="H18" s="20" t="n">
        <v>1.68</v>
      </c>
      <c r="I18" s="20" t="n">
        <v>4.32</v>
      </c>
      <c r="J18" s="20" t="s">
        <v>173</v>
      </c>
      <c r="K18" s="20" t="s">
        <v>174</v>
      </c>
      <c r="L18" s="20" t="s">
        <v>175</v>
      </c>
      <c r="M18" s="20" t="n">
        <v>2.5</v>
      </c>
      <c r="N18" s="20" t="s">
        <v>42</v>
      </c>
      <c r="O18" s="20" t="s">
        <v>176</v>
      </c>
    </row>
    <row r="19" customFormat="false" ht="15" hidden="false" customHeight="false" outlineLevel="0" collapsed="false">
      <c r="A19" s="20" t="s">
        <v>113</v>
      </c>
      <c r="B19" s="20" t="s">
        <v>90</v>
      </c>
      <c r="C19" s="21" t="n">
        <v>55</v>
      </c>
      <c r="D19" s="20" t="s">
        <v>30</v>
      </c>
      <c r="E19" s="20" t="s">
        <v>30</v>
      </c>
      <c r="F19" s="20" t="s">
        <v>98</v>
      </c>
      <c r="G19" s="22" t="n">
        <v>0.04</v>
      </c>
      <c r="H19" s="20" t="n">
        <v>1.91</v>
      </c>
      <c r="I19" s="20" t="n">
        <v>5</v>
      </c>
      <c r="J19" s="20" t="s">
        <v>173</v>
      </c>
      <c r="K19" s="20" t="s">
        <v>174</v>
      </c>
      <c r="L19" s="20" t="s">
        <v>177</v>
      </c>
      <c r="M19" s="20" t="n">
        <v>2</v>
      </c>
      <c r="N19" s="20" t="s">
        <v>42</v>
      </c>
      <c r="O19" s="20" t="s">
        <v>178</v>
      </c>
    </row>
    <row r="20" customFormat="false" ht="15" hidden="false" customHeight="false" outlineLevel="0" collapsed="false">
      <c r="A20" s="20" t="s">
        <v>120</v>
      </c>
      <c r="B20" s="20" t="s">
        <v>90</v>
      </c>
      <c r="C20" s="21" t="n">
        <v>55</v>
      </c>
      <c r="D20" s="20" t="s">
        <v>30</v>
      </c>
      <c r="E20" s="20" t="s">
        <v>30</v>
      </c>
      <c r="F20" s="20" t="s">
        <v>41</v>
      </c>
      <c r="G20" s="22" t="n">
        <v>0.02</v>
      </c>
      <c r="H20" s="20" t="n">
        <v>1.72</v>
      </c>
      <c r="I20" s="20" t="n">
        <v>4.87</v>
      </c>
      <c r="J20" s="20" t="s">
        <v>173</v>
      </c>
      <c r="K20" s="20" t="s">
        <v>174</v>
      </c>
      <c r="L20" s="20" t="s">
        <v>175</v>
      </c>
      <c r="M20" s="20" t="n">
        <v>2.5</v>
      </c>
      <c r="N20" s="20" t="s">
        <v>42</v>
      </c>
      <c r="O20" s="20" t="s">
        <v>176</v>
      </c>
    </row>
    <row r="21" customFormat="false" ht="23.85" hidden="false" customHeight="false" outlineLevel="0" collapsed="false">
      <c r="A21" s="20" t="s">
        <v>47</v>
      </c>
      <c r="B21" s="20" t="s">
        <v>40</v>
      </c>
      <c r="C21" s="21" t="n">
        <v>5500</v>
      </c>
      <c r="D21" s="20" t="s">
        <v>30</v>
      </c>
      <c r="E21" s="20" t="s">
        <v>30</v>
      </c>
      <c r="F21" s="20" t="s">
        <v>31</v>
      </c>
      <c r="G21" s="22" t="n">
        <v>0.03</v>
      </c>
      <c r="H21" s="20" t="n">
        <v>0.88</v>
      </c>
      <c r="I21" s="20" t="n">
        <v>4.24</v>
      </c>
      <c r="J21" s="20" t="s">
        <v>173</v>
      </c>
      <c r="K21" s="20" t="s">
        <v>179</v>
      </c>
      <c r="L21" s="20" t="s">
        <v>175</v>
      </c>
      <c r="M21" s="20" t="n">
        <v>2.5</v>
      </c>
      <c r="N21" s="20" t="s">
        <v>42</v>
      </c>
      <c r="O21" s="20" t="s">
        <v>180</v>
      </c>
    </row>
    <row r="22" customFormat="false" ht="23.85" hidden="false" customHeight="false" outlineLevel="0" collapsed="false">
      <c r="A22" s="20" t="s">
        <v>67</v>
      </c>
      <c r="B22" s="20" t="s">
        <v>56</v>
      </c>
      <c r="C22" s="21" t="n">
        <v>550</v>
      </c>
      <c r="D22" s="20" t="s">
        <v>30</v>
      </c>
      <c r="E22" s="20" t="s">
        <v>53</v>
      </c>
      <c r="F22" s="20" t="s">
        <v>31</v>
      </c>
      <c r="G22" s="22" t="n">
        <v>0.03</v>
      </c>
      <c r="H22" s="20" t="n">
        <v>0.99</v>
      </c>
      <c r="I22" s="20" t="n">
        <v>4.87</v>
      </c>
      <c r="J22" s="20" t="s">
        <v>173</v>
      </c>
      <c r="K22" s="20" t="s">
        <v>179</v>
      </c>
      <c r="L22" s="20" t="s">
        <v>175</v>
      </c>
      <c r="M22" s="20" t="n">
        <v>2.5</v>
      </c>
      <c r="N22" s="20" t="s">
        <v>42</v>
      </c>
      <c r="O22" s="20" t="s">
        <v>180</v>
      </c>
    </row>
    <row r="23" customFormat="false" ht="23.85" hidden="false" customHeight="false" outlineLevel="0" collapsed="false">
      <c r="A23" s="20" t="s">
        <v>69</v>
      </c>
      <c r="B23" s="20" t="s">
        <v>56</v>
      </c>
      <c r="C23" s="21" t="n">
        <v>550</v>
      </c>
      <c r="D23" s="20" t="s">
        <v>30</v>
      </c>
      <c r="E23" s="20" t="s">
        <v>30</v>
      </c>
      <c r="F23" s="20" t="s">
        <v>41</v>
      </c>
      <c r="G23" s="22" t="n">
        <v>0.02</v>
      </c>
      <c r="H23" s="20" t="n">
        <v>1.04</v>
      </c>
      <c r="I23" s="20" t="n">
        <v>3.63</v>
      </c>
      <c r="J23" s="20" t="s">
        <v>173</v>
      </c>
      <c r="K23" s="20" t="s">
        <v>179</v>
      </c>
      <c r="L23" s="20" t="s">
        <v>175</v>
      </c>
      <c r="M23" s="20" t="n">
        <v>2.5</v>
      </c>
      <c r="N23" s="20" t="s">
        <v>42</v>
      </c>
      <c r="O23" s="20" t="s">
        <v>180</v>
      </c>
    </row>
    <row r="24" customFormat="false" ht="23.85" hidden="false" customHeight="false" outlineLevel="0" collapsed="false">
      <c r="A24" s="20" t="s">
        <v>71</v>
      </c>
      <c r="B24" s="20" t="s">
        <v>56</v>
      </c>
      <c r="C24" s="21" t="n">
        <v>550</v>
      </c>
      <c r="D24" s="20" t="s">
        <v>53</v>
      </c>
      <c r="E24" s="20" t="s">
        <v>53</v>
      </c>
      <c r="F24" s="20" t="s">
        <v>41</v>
      </c>
      <c r="G24" s="22" t="n">
        <v>0.02</v>
      </c>
      <c r="H24" s="20"/>
      <c r="I24" s="20"/>
      <c r="J24" s="20" t="s">
        <v>173</v>
      </c>
      <c r="K24" s="20" t="s">
        <v>179</v>
      </c>
      <c r="L24" s="20" t="s">
        <v>175</v>
      </c>
      <c r="M24" s="20" t="n">
        <v>2.5</v>
      </c>
      <c r="N24" s="20" t="s">
        <v>42</v>
      </c>
      <c r="O24" s="20" t="s">
        <v>180</v>
      </c>
    </row>
    <row r="25" customFormat="false" ht="23.85" hidden="false" customHeight="false" outlineLevel="0" collapsed="false">
      <c r="A25" s="20" t="s">
        <v>72</v>
      </c>
      <c r="B25" s="20" t="s">
        <v>56</v>
      </c>
      <c r="C25" s="21" t="n">
        <v>550</v>
      </c>
      <c r="D25" s="20" t="s">
        <v>53</v>
      </c>
      <c r="E25" s="20" t="s">
        <v>53</v>
      </c>
      <c r="F25" s="20" t="s">
        <v>41</v>
      </c>
      <c r="G25" s="22" t="n">
        <v>0.02</v>
      </c>
      <c r="H25" s="20"/>
      <c r="I25" s="20"/>
      <c r="J25" s="20" t="s">
        <v>173</v>
      </c>
      <c r="K25" s="20" t="s">
        <v>179</v>
      </c>
      <c r="L25" s="20" t="s">
        <v>175</v>
      </c>
      <c r="M25" s="20" t="n">
        <v>2.5</v>
      </c>
      <c r="N25" s="20" t="s">
        <v>42</v>
      </c>
      <c r="O25" s="20" t="s">
        <v>180</v>
      </c>
    </row>
    <row r="26" customFormat="false" ht="23.85" hidden="false" customHeight="false" outlineLevel="0" collapsed="false">
      <c r="A26" s="20" t="s">
        <v>74</v>
      </c>
      <c r="B26" s="20" t="s">
        <v>56</v>
      </c>
      <c r="C26" s="21" t="n">
        <v>550</v>
      </c>
      <c r="D26" s="20" t="s">
        <v>30</v>
      </c>
      <c r="E26" s="20" t="s">
        <v>30</v>
      </c>
      <c r="F26" s="20" t="s">
        <v>31</v>
      </c>
      <c r="G26" s="22" t="n">
        <v>0.02</v>
      </c>
      <c r="H26" s="20" t="n">
        <v>1.14</v>
      </c>
      <c r="I26" s="20" t="n">
        <v>4.1</v>
      </c>
      <c r="J26" s="20" t="s">
        <v>173</v>
      </c>
      <c r="K26" s="20" t="s">
        <v>179</v>
      </c>
      <c r="L26" s="20" t="s">
        <v>175</v>
      </c>
      <c r="M26" s="20" t="n">
        <v>2.5</v>
      </c>
      <c r="N26" s="20" t="s">
        <v>42</v>
      </c>
      <c r="O26" s="20" t="s">
        <v>180</v>
      </c>
    </row>
    <row r="27" customFormat="false" ht="23.85" hidden="false" customHeight="false" outlineLevel="0" collapsed="false">
      <c r="A27" s="20" t="s">
        <v>75</v>
      </c>
      <c r="B27" s="20" t="s">
        <v>56</v>
      </c>
      <c r="C27" s="21" t="n">
        <v>550</v>
      </c>
      <c r="D27" s="20" t="s">
        <v>53</v>
      </c>
      <c r="E27" s="20" t="s">
        <v>30</v>
      </c>
      <c r="F27" s="20" t="s">
        <v>41</v>
      </c>
      <c r="G27" s="22" t="n">
        <v>0.01</v>
      </c>
      <c r="H27" s="20" t="n">
        <v>1.13</v>
      </c>
      <c r="I27" s="20" t="n">
        <v>4.87</v>
      </c>
      <c r="J27" s="20" t="s">
        <v>173</v>
      </c>
      <c r="K27" s="20" t="s">
        <v>179</v>
      </c>
      <c r="L27" s="20" t="s">
        <v>175</v>
      </c>
      <c r="M27" s="20" t="n">
        <v>2.5</v>
      </c>
      <c r="N27" s="20" t="s">
        <v>42</v>
      </c>
      <c r="O27" s="20" t="s">
        <v>180</v>
      </c>
    </row>
    <row r="28" customFormat="false" ht="23.85" hidden="false" customHeight="false" outlineLevel="0" collapsed="false">
      <c r="A28" s="20" t="s">
        <v>79</v>
      </c>
      <c r="B28" s="20" t="s">
        <v>56</v>
      </c>
      <c r="C28" s="21" t="n">
        <v>550</v>
      </c>
      <c r="D28" s="20" t="s">
        <v>53</v>
      </c>
      <c r="E28" s="20" t="s">
        <v>30</v>
      </c>
      <c r="F28" s="20" t="s">
        <v>31</v>
      </c>
      <c r="G28" s="22" t="n">
        <v>0.005</v>
      </c>
      <c r="H28" s="20" t="n">
        <v>1.19</v>
      </c>
      <c r="I28" s="20" t="n">
        <v>5.1</v>
      </c>
      <c r="J28" s="20" t="s">
        <v>173</v>
      </c>
      <c r="K28" s="20" t="s">
        <v>179</v>
      </c>
      <c r="L28" s="20" t="s">
        <v>175</v>
      </c>
      <c r="M28" s="20" t="n">
        <v>2.5</v>
      </c>
      <c r="N28" s="20" t="s">
        <v>42</v>
      </c>
      <c r="O28" s="20" t="s">
        <v>180</v>
      </c>
    </row>
    <row r="29" customFormat="false" ht="23.85" hidden="false" customHeight="false" outlineLevel="0" collapsed="false">
      <c r="A29" s="20" t="s">
        <v>82</v>
      </c>
      <c r="B29" s="20" t="s">
        <v>56</v>
      </c>
      <c r="C29" s="21" t="n">
        <v>550</v>
      </c>
      <c r="D29" s="20" t="s">
        <v>30</v>
      </c>
      <c r="E29" s="20" t="s">
        <v>53</v>
      </c>
      <c r="F29" s="20" t="s">
        <v>31</v>
      </c>
      <c r="G29" s="22" t="n">
        <v>0.005</v>
      </c>
      <c r="H29" s="20" t="n">
        <v>1.03</v>
      </c>
      <c r="I29" s="20" t="n">
        <v>4.57</v>
      </c>
      <c r="J29" s="20" t="s">
        <v>173</v>
      </c>
      <c r="K29" s="20" t="s">
        <v>179</v>
      </c>
      <c r="L29" s="20" t="s">
        <v>175</v>
      </c>
      <c r="M29" s="20" t="n">
        <v>2.5</v>
      </c>
      <c r="N29" s="20" t="s">
        <v>42</v>
      </c>
      <c r="O29" s="20" t="s">
        <v>180</v>
      </c>
    </row>
    <row r="30" customFormat="false" ht="23.85" hidden="false" customHeight="false" outlineLevel="0" collapsed="false">
      <c r="A30" s="20" t="s">
        <v>83</v>
      </c>
      <c r="B30" s="20" t="s">
        <v>56</v>
      </c>
      <c r="C30" s="21" t="n">
        <v>550</v>
      </c>
      <c r="D30" s="20" t="s">
        <v>53</v>
      </c>
      <c r="E30" s="20" t="s">
        <v>30</v>
      </c>
      <c r="F30" s="20" t="s">
        <v>31</v>
      </c>
      <c r="G30" s="22" t="n">
        <v>0.005</v>
      </c>
      <c r="H30" s="20"/>
      <c r="I30" s="20"/>
      <c r="J30" s="20" t="s">
        <v>173</v>
      </c>
      <c r="K30" s="20" t="s">
        <v>179</v>
      </c>
      <c r="L30" s="20" t="s">
        <v>175</v>
      </c>
      <c r="M30" s="20" t="n">
        <v>2.5</v>
      </c>
      <c r="N30" s="20" t="s">
        <v>42</v>
      </c>
      <c r="O30" s="20" t="s">
        <v>180</v>
      </c>
    </row>
    <row r="31" customFormat="false" ht="23.85" hidden="false" customHeight="false" outlineLevel="0" collapsed="false">
      <c r="A31" s="20" t="s">
        <v>86</v>
      </c>
      <c r="B31" s="20" t="s">
        <v>56</v>
      </c>
      <c r="C31" s="21" t="n">
        <v>550</v>
      </c>
      <c r="D31" s="20" t="s">
        <v>53</v>
      </c>
      <c r="E31" s="20" t="s">
        <v>53</v>
      </c>
      <c r="F31" s="20" t="s">
        <v>41</v>
      </c>
      <c r="G31" s="22" t="n">
        <v>0.005</v>
      </c>
      <c r="H31" s="20" t="n">
        <v>1.64</v>
      </c>
      <c r="I31" s="20" t="n">
        <v>4.1</v>
      </c>
      <c r="J31" s="20" t="s">
        <v>173</v>
      </c>
      <c r="K31" s="20" t="s">
        <v>179</v>
      </c>
      <c r="L31" s="20" t="s">
        <v>175</v>
      </c>
      <c r="M31" s="20" t="n">
        <v>2.5</v>
      </c>
      <c r="N31" s="20" t="s">
        <v>42</v>
      </c>
      <c r="O31" s="20" t="s">
        <v>180</v>
      </c>
    </row>
    <row r="32" customFormat="false" ht="23.85" hidden="false" customHeight="false" outlineLevel="0" collapsed="false">
      <c r="A32" s="20" t="s">
        <v>114</v>
      </c>
      <c r="B32" s="20" t="s">
        <v>90</v>
      </c>
      <c r="C32" s="21" t="n">
        <v>55</v>
      </c>
      <c r="D32" s="20" t="s">
        <v>30</v>
      </c>
      <c r="E32" s="20" t="s">
        <v>30</v>
      </c>
      <c r="F32" s="20" t="s">
        <v>41</v>
      </c>
      <c r="G32" s="22" t="n">
        <v>0.04</v>
      </c>
      <c r="H32" s="20"/>
      <c r="I32" s="20"/>
      <c r="J32" s="20" t="s">
        <v>173</v>
      </c>
      <c r="K32" s="20" t="s">
        <v>179</v>
      </c>
      <c r="L32" s="20" t="s">
        <v>175</v>
      </c>
      <c r="M32" s="20" t="n">
        <v>2.5</v>
      </c>
      <c r="N32" s="20" t="s">
        <v>42</v>
      </c>
      <c r="O32" s="20" t="s">
        <v>180</v>
      </c>
    </row>
    <row r="33" customFormat="false" ht="23.85" hidden="false" customHeight="false" outlineLevel="0" collapsed="false">
      <c r="A33" s="20" t="s">
        <v>119</v>
      </c>
      <c r="B33" s="20" t="s">
        <v>90</v>
      </c>
      <c r="C33" s="21" t="n">
        <v>55</v>
      </c>
      <c r="D33" s="20" t="s">
        <v>53</v>
      </c>
      <c r="E33" s="20" t="s">
        <v>53</v>
      </c>
      <c r="F33" s="20" t="s">
        <v>41</v>
      </c>
      <c r="G33" s="22" t="n">
        <v>0.04</v>
      </c>
      <c r="H33" s="20" t="n">
        <v>1.51</v>
      </c>
      <c r="I33" s="20" t="n">
        <v>3.2</v>
      </c>
      <c r="J33" s="20" t="s">
        <v>173</v>
      </c>
      <c r="K33" s="20" t="s">
        <v>179</v>
      </c>
      <c r="L33" s="20" t="s">
        <v>175</v>
      </c>
      <c r="M33" s="20" t="n">
        <v>2.5</v>
      </c>
      <c r="N33" s="20" t="s">
        <v>42</v>
      </c>
      <c r="O33" s="20" t="s">
        <v>180</v>
      </c>
    </row>
    <row r="34" customFormat="false" ht="23.85" hidden="false" customHeight="false" outlineLevel="0" collapsed="false">
      <c r="A34" s="20" t="s">
        <v>38</v>
      </c>
      <c r="B34" s="20" t="s">
        <v>40</v>
      </c>
      <c r="C34" s="21" t="n">
        <v>5500</v>
      </c>
      <c r="D34" s="20" t="s">
        <v>30</v>
      </c>
      <c r="E34" s="20" t="s">
        <v>30</v>
      </c>
      <c r="F34" s="20" t="s">
        <v>41</v>
      </c>
      <c r="G34" s="22" t="n">
        <v>0.05</v>
      </c>
      <c r="H34" s="20" t="n">
        <v>1.18</v>
      </c>
      <c r="I34" s="20" t="n">
        <v>5.86</v>
      </c>
      <c r="J34" s="20" t="s">
        <v>173</v>
      </c>
      <c r="K34" s="20" t="s">
        <v>181</v>
      </c>
      <c r="L34" s="20" t="s">
        <v>175</v>
      </c>
      <c r="M34" s="20" t="n">
        <v>2.5</v>
      </c>
      <c r="N34" s="20" t="s">
        <v>42</v>
      </c>
      <c r="O34" s="20" t="s">
        <v>182</v>
      </c>
    </row>
    <row r="35" customFormat="false" ht="23.85" hidden="false" customHeight="false" outlineLevel="0" collapsed="false">
      <c r="A35" s="20" t="s">
        <v>44</v>
      </c>
      <c r="B35" s="20" t="s">
        <v>40</v>
      </c>
      <c r="C35" s="21" t="n">
        <v>5500</v>
      </c>
      <c r="D35" s="20" t="s">
        <v>30</v>
      </c>
      <c r="E35" s="20" t="s">
        <v>30</v>
      </c>
      <c r="F35" s="20" t="s">
        <v>41</v>
      </c>
      <c r="G35" s="22" t="n">
        <v>0.04</v>
      </c>
      <c r="H35" s="20" t="n">
        <v>1.37</v>
      </c>
      <c r="I35" s="20" t="n">
        <v>5.78</v>
      </c>
      <c r="J35" s="20" t="s">
        <v>173</v>
      </c>
      <c r="K35" s="20" t="s">
        <v>181</v>
      </c>
      <c r="L35" s="20" t="s">
        <v>175</v>
      </c>
      <c r="M35" s="20" t="n">
        <v>2.5</v>
      </c>
      <c r="N35" s="20" t="s">
        <v>42</v>
      </c>
      <c r="O35" s="20" t="s">
        <v>182</v>
      </c>
    </row>
    <row r="36" customFormat="false" ht="23.85" hidden="false" customHeight="false" outlineLevel="0" collapsed="false">
      <c r="A36" s="20" t="s">
        <v>58</v>
      </c>
      <c r="B36" s="20" t="s">
        <v>56</v>
      </c>
      <c r="C36" s="21" t="n">
        <v>550</v>
      </c>
      <c r="D36" s="20" t="s">
        <v>30</v>
      </c>
      <c r="E36" s="20" t="s">
        <v>59</v>
      </c>
      <c r="F36" s="20" t="s">
        <v>41</v>
      </c>
      <c r="G36" s="22" t="n">
        <v>0.14</v>
      </c>
      <c r="H36" s="20" t="n">
        <v>2.52</v>
      </c>
      <c r="I36" s="20" t="n">
        <v>7.55</v>
      </c>
      <c r="J36" s="20" t="s">
        <v>173</v>
      </c>
      <c r="K36" s="20" t="s">
        <v>181</v>
      </c>
      <c r="L36" s="20" t="s">
        <v>175</v>
      </c>
      <c r="M36" s="20" t="n">
        <v>2.5</v>
      </c>
      <c r="N36" s="20" t="s">
        <v>42</v>
      </c>
      <c r="O36" s="20" t="s">
        <v>182</v>
      </c>
    </row>
    <row r="37" customFormat="false" ht="23.85" hidden="false" customHeight="false" outlineLevel="0" collapsed="false">
      <c r="A37" s="20" t="s">
        <v>60</v>
      </c>
      <c r="B37" s="20" t="s">
        <v>56</v>
      </c>
      <c r="C37" s="21" t="n">
        <v>550</v>
      </c>
      <c r="D37" s="20" t="s">
        <v>30</v>
      </c>
      <c r="E37" s="20" t="s">
        <v>30</v>
      </c>
      <c r="F37" s="20" t="s">
        <v>41</v>
      </c>
      <c r="G37" s="22" t="n">
        <v>0.09</v>
      </c>
      <c r="H37" s="20" t="n">
        <v>1.96</v>
      </c>
      <c r="I37" s="20" t="n">
        <v>6.34</v>
      </c>
      <c r="J37" s="20" t="s">
        <v>173</v>
      </c>
      <c r="K37" s="20" t="s">
        <v>181</v>
      </c>
      <c r="L37" s="20" t="s">
        <v>175</v>
      </c>
      <c r="M37" s="20" t="n">
        <v>2.5</v>
      </c>
      <c r="N37" s="20" t="s">
        <v>42</v>
      </c>
      <c r="O37" s="20" t="s">
        <v>182</v>
      </c>
    </row>
    <row r="38" customFormat="false" ht="23.85" hidden="false" customHeight="false" outlineLevel="0" collapsed="false">
      <c r="A38" s="20" t="s">
        <v>62</v>
      </c>
      <c r="B38" s="20" t="s">
        <v>56</v>
      </c>
      <c r="C38" s="21" t="n">
        <v>550</v>
      </c>
      <c r="D38" s="20" t="s">
        <v>30</v>
      </c>
      <c r="E38" s="20" t="s">
        <v>30</v>
      </c>
      <c r="F38" s="20" t="s">
        <v>41</v>
      </c>
      <c r="G38" s="22" t="n">
        <v>0.05</v>
      </c>
      <c r="H38" s="20" t="n">
        <v>2.52</v>
      </c>
      <c r="I38" s="20" t="n">
        <v>8.41</v>
      </c>
      <c r="J38" s="20" t="s">
        <v>173</v>
      </c>
      <c r="K38" s="20" t="s">
        <v>181</v>
      </c>
      <c r="L38" s="20" t="s">
        <v>175</v>
      </c>
      <c r="M38" s="20" t="n">
        <v>2.5</v>
      </c>
      <c r="N38" s="20" t="s">
        <v>42</v>
      </c>
      <c r="O38" s="20" t="s">
        <v>182</v>
      </c>
    </row>
    <row r="39" customFormat="false" ht="23.85" hidden="false" customHeight="false" outlineLevel="0" collapsed="false">
      <c r="A39" s="20" t="s">
        <v>66</v>
      </c>
      <c r="B39" s="20" t="s">
        <v>56</v>
      </c>
      <c r="C39" s="21" t="n">
        <v>550</v>
      </c>
      <c r="D39" s="20" t="s">
        <v>30</v>
      </c>
      <c r="E39" s="20" t="s">
        <v>30</v>
      </c>
      <c r="F39" s="20" t="s">
        <v>41</v>
      </c>
      <c r="G39" s="22" t="n">
        <v>0.04</v>
      </c>
      <c r="H39" s="20" t="n">
        <v>2.03</v>
      </c>
      <c r="I39" s="20" t="n">
        <v>7.51</v>
      </c>
      <c r="J39" s="20" t="s">
        <v>173</v>
      </c>
      <c r="K39" s="20" t="s">
        <v>181</v>
      </c>
      <c r="L39" s="20" t="s">
        <v>175</v>
      </c>
      <c r="M39" s="20" t="n">
        <v>2.5</v>
      </c>
      <c r="N39" s="20" t="s">
        <v>42</v>
      </c>
      <c r="O39" s="20" t="s">
        <v>182</v>
      </c>
    </row>
    <row r="40" customFormat="false" ht="23.85" hidden="false" customHeight="false" outlineLevel="0" collapsed="false">
      <c r="A40" s="20" t="s">
        <v>70</v>
      </c>
      <c r="B40" s="20" t="s">
        <v>56</v>
      </c>
      <c r="C40" s="21" t="n">
        <v>550</v>
      </c>
      <c r="D40" s="20" t="s">
        <v>30</v>
      </c>
      <c r="E40" s="20" t="s">
        <v>30</v>
      </c>
      <c r="F40" s="20" t="s">
        <v>41</v>
      </c>
      <c r="G40" s="22" t="n">
        <v>0.02</v>
      </c>
      <c r="H40" s="20" t="n">
        <v>1.62</v>
      </c>
      <c r="I40" s="20" t="n">
        <v>7.22</v>
      </c>
      <c r="J40" s="20" t="s">
        <v>173</v>
      </c>
      <c r="K40" s="20" t="s">
        <v>181</v>
      </c>
      <c r="L40" s="20" t="s">
        <v>175</v>
      </c>
      <c r="M40" s="20" t="n">
        <v>2.5</v>
      </c>
      <c r="N40" s="20" t="s">
        <v>42</v>
      </c>
      <c r="O40" s="20" t="s">
        <v>182</v>
      </c>
    </row>
    <row r="41" customFormat="false" ht="23.85" hidden="false" customHeight="false" outlineLevel="0" collapsed="false">
      <c r="A41" s="20" t="s">
        <v>122</v>
      </c>
      <c r="B41" s="20" t="s">
        <v>90</v>
      </c>
      <c r="C41" s="21" t="n">
        <v>55</v>
      </c>
      <c r="D41" s="20" t="s">
        <v>30</v>
      </c>
      <c r="E41" s="20" t="s">
        <v>30</v>
      </c>
      <c r="F41" s="20" t="s">
        <v>98</v>
      </c>
      <c r="G41" s="22" t="n">
        <v>0.02</v>
      </c>
      <c r="H41" s="20" t="n">
        <v>1.81</v>
      </c>
      <c r="I41" s="20" t="n">
        <v>6.71</v>
      </c>
      <c r="J41" s="20" t="s">
        <v>173</v>
      </c>
      <c r="K41" s="20" t="s">
        <v>181</v>
      </c>
      <c r="L41" s="20" t="s">
        <v>175</v>
      </c>
      <c r="M41" s="20" t="n">
        <v>2.5</v>
      </c>
      <c r="N41" s="20" t="s">
        <v>42</v>
      </c>
      <c r="O41" s="20" t="s">
        <v>182</v>
      </c>
    </row>
    <row r="42" customFormat="false" ht="23.85" hidden="false" customHeight="false" outlineLevel="0" collapsed="false">
      <c r="A42" s="20" t="s">
        <v>55</v>
      </c>
      <c r="B42" s="20" t="s">
        <v>56</v>
      </c>
      <c r="C42" s="21" t="n">
        <v>550</v>
      </c>
      <c r="D42" s="20" t="s">
        <v>30</v>
      </c>
      <c r="E42" s="20" t="s">
        <v>30</v>
      </c>
      <c r="F42" s="20" t="s">
        <v>41</v>
      </c>
      <c r="G42" s="22" t="n">
        <v>0.21</v>
      </c>
      <c r="H42" s="20" t="n">
        <v>1.37</v>
      </c>
      <c r="I42" s="20" t="n">
        <v>5.46</v>
      </c>
      <c r="J42" s="20" t="s">
        <v>173</v>
      </c>
      <c r="K42" s="20" t="s">
        <v>183</v>
      </c>
      <c r="L42" s="20" t="s">
        <v>175</v>
      </c>
      <c r="M42" s="20" t="n">
        <v>2</v>
      </c>
      <c r="N42" s="20" t="s">
        <v>42</v>
      </c>
      <c r="O42" s="20" t="s">
        <v>184</v>
      </c>
    </row>
    <row r="43" customFormat="false" ht="23.85" hidden="false" customHeight="false" outlineLevel="0" collapsed="false">
      <c r="A43" s="20" t="s">
        <v>57</v>
      </c>
      <c r="B43" s="20" t="s">
        <v>56</v>
      </c>
      <c r="C43" s="21" t="n">
        <v>550</v>
      </c>
      <c r="D43" s="20" t="s">
        <v>30</v>
      </c>
      <c r="E43" s="20" t="s">
        <v>30</v>
      </c>
      <c r="F43" s="20" t="s">
        <v>41</v>
      </c>
      <c r="G43" s="22" t="n">
        <v>0.21</v>
      </c>
      <c r="H43" s="20" t="n">
        <v>1.37</v>
      </c>
      <c r="I43" s="20" t="n">
        <v>5.46</v>
      </c>
      <c r="J43" s="20" t="s">
        <v>173</v>
      </c>
      <c r="K43" s="20" t="s">
        <v>183</v>
      </c>
      <c r="L43" s="20" t="s">
        <v>175</v>
      </c>
      <c r="M43" s="20" t="n">
        <v>2</v>
      </c>
      <c r="N43" s="20" t="s">
        <v>42</v>
      </c>
      <c r="O43" s="20" t="s">
        <v>184</v>
      </c>
    </row>
    <row r="44" customFormat="false" ht="15" hidden="false" customHeight="false" outlineLevel="0" collapsed="false">
      <c r="A44" s="20" t="s">
        <v>76</v>
      </c>
      <c r="B44" s="20" t="s">
        <v>56</v>
      </c>
      <c r="C44" s="21" t="n">
        <v>550</v>
      </c>
      <c r="D44" s="20" t="s">
        <v>30</v>
      </c>
      <c r="E44" s="20" t="s">
        <v>53</v>
      </c>
      <c r="F44" s="20" t="s">
        <v>31</v>
      </c>
      <c r="G44" s="22" t="n">
        <v>0.01</v>
      </c>
      <c r="H44" s="20"/>
      <c r="I44" s="20"/>
      <c r="J44" s="20" t="s">
        <v>173</v>
      </c>
      <c r="K44" s="20" t="s">
        <v>185</v>
      </c>
      <c r="L44" s="20" t="s">
        <v>177</v>
      </c>
      <c r="M44" s="20" t="n">
        <v>2</v>
      </c>
      <c r="N44" s="20" t="s">
        <v>42</v>
      </c>
      <c r="O44" s="20" t="s">
        <v>186</v>
      </c>
    </row>
    <row r="45" customFormat="false" ht="15" hidden="false" customHeight="false" outlineLevel="0" collapsed="false">
      <c r="A45" s="20" t="s">
        <v>91</v>
      </c>
      <c r="B45" s="20" t="s">
        <v>90</v>
      </c>
      <c r="C45" s="21" t="n">
        <v>55</v>
      </c>
      <c r="D45" s="20" t="s">
        <v>30</v>
      </c>
      <c r="E45" s="20" t="s">
        <v>30</v>
      </c>
      <c r="F45" s="20" t="s">
        <v>41</v>
      </c>
      <c r="G45" s="22" t="n">
        <v>0.18</v>
      </c>
      <c r="H45" s="20"/>
      <c r="I45" s="20"/>
      <c r="J45" s="20" t="s">
        <v>173</v>
      </c>
      <c r="K45" s="20" t="s">
        <v>185</v>
      </c>
      <c r="L45" s="20" t="s">
        <v>177</v>
      </c>
      <c r="M45" s="20" t="n">
        <v>2</v>
      </c>
      <c r="N45" s="20" t="s">
        <v>42</v>
      </c>
      <c r="O45" s="20" t="s">
        <v>186</v>
      </c>
    </row>
    <row r="46" customFormat="false" ht="15" hidden="false" customHeight="false" outlineLevel="0" collapsed="false">
      <c r="A46" s="20" t="s">
        <v>95</v>
      </c>
      <c r="B46" s="20" t="s">
        <v>90</v>
      </c>
      <c r="C46" s="21" t="n">
        <v>55</v>
      </c>
      <c r="D46" s="20" t="s">
        <v>59</v>
      </c>
      <c r="E46" s="20" t="s">
        <v>59</v>
      </c>
      <c r="F46" s="20" t="s">
        <v>41</v>
      </c>
      <c r="G46" s="22" t="n">
        <v>0.16</v>
      </c>
      <c r="H46" s="20"/>
      <c r="I46" s="20"/>
      <c r="J46" s="20" t="s">
        <v>173</v>
      </c>
      <c r="K46" s="20" t="s">
        <v>185</v>
      </c>
      <c r="L46" s="20" t="s">
        <v>177</v>
      </c>
      <c r="M46" s="20" t="n">
        <v>2</v>
      </c>
      <c r="N46" s="20" t="s">
        <v>42</v>
      </c>
      <c r="O46" s="20" t="s">
        <v>186</v>
      </c>
    </row>
    <row r="47" customFormat="false" ht="15" hidden="false" customHeight="false" outlineLevel="0" collapsed="false">
      <c r="A47" s="20" t="s">
        <v>96</v>
      </c>
      <c r="B47" s="20" t="s">
        <v>90</v>
      </c>
      <c r="C47" s="21" t="n">
        <v>55</v>
      </c>
      <c r="D47" s="20" t="s">
        <v>30</v>
      </c>
      <c r="E47" s="20" t="s">
        <v>59</v>
      </c>
      <c r="F47" s="20" t="s">
        <v>31</v>
      </c>
      <c r="G47" s="22" t="n">
        <v>0.14</v>
      </c>
      <c r="H47" s="20"/>
      <c r="I47" s="20"/>
      <c r="J47" s="20" t="s">
        <v>173</v>
      </c>
      <c r="K47" s="20" t="s">
        <v>185</v>
      </c>
      <c r="L47" s="20" t="s">
        <v>177</v>
      </c>
      <c r="M47" s="20" t="n">
        <v>2</v>
      </c>
      <c r="N47" s="20" t="s">
        <v>42</v>
      </c>
      <c r="O47" s="20" t="s">
        <v>186</v>
      </c>
    </row>
    <row r="48" customFormat="false" ht="15" hidden="false" customHeight="false" outlineLevel="0" collapsed="false">
      <c r="A48" s="20" t="s">
        <v>99</v>
      </c>
      <c r="B48" s="20" t="s">
        <v>90</v>
      </c>
      <c r="C48" s="21" t="n">
        <v>55</v>
      </c>
      <c r="D48" s="20" t="s">
        <v>30</v>
      </c>
      <c r="E48" s="20" t="s">
        <v>30</v>
      </c>
      <c r="F48" s="20" t="s">
        <v>41</v>
      </c>
      <c r="G48" s="22" t="n">
        <v>0.12</v>
      </c>
      <c r="H48" s="20" t="n">
        <v>2.23</v>
      </c>
      <c r="I48" s="20" t="n">
        <v>5.69</v>
      </c>
      <c r="J48" s="20" t="s">
        <v>173</v>
      </c>
      <c r="K48" s="20" t="s">
        <v>185</v>
      </c>
      <c r="L48" s="20" t="s">
        <v>177</v>
      </c>
      <c r="M48" s="20" t="n">
        <v>2</v>
      </c>
      <c r="N48" s="20" t="s">
        <v>42</v>
      </c>
      <c r="O48" s="20" t="s">
        <v>186</v>
      </c>
    </row>
    <row r="49" customFormat="false" ht="15" hidden="false" customHeight="false" outlineLevel="0" collapsed="false">
      <c r="A49" s="20" t="s">
        <v>100</v>
      </c>
      <c r="B49" s="20" t="s">
        <v>90</v>
      </c>
      <c r="C49" s="21" t="n">
        <v>55</v>
      </c>
      <c r="D49" s="20" t="s">
        <v>30</v>
      </c>
      <c r="E49" s="20" t="s">
        <v>30</v>
      </c>
      <c r="F49" s="20" t="s">
        <v>41</v>
      </c>
      <c r="G49" s="22" t="n">
        <v>0.1</v>
      </c>
      <c r="H49" s="20"/>
      <c r="I49" s="20"/>
      <c r="J49" s="20" t="s">
        <v>173</v>
      </c>
      <c r="K49" s="20" t="s">
        <v>185</v>
      </c>
      <c r="L49" s="20" t="s">
        <v>177</v>
      </c>
      <c r="M49" s="20" t="n">
        <v>2</v>
      </c>
      <c r="N49" s="20" t="s">
        <v>42</v>
      </c>
      <c r="O49" s="20" t="s">
        <v>186</v>
      </c>
    </row>
    <row r="50" customFormat="false" ht="15" hidden="false" customHeight="false" outlineLevel="0" collapsed="false">
      <c r="A50" s="20" t="s">
        <v>105</v>
      </c>
      <c r="B50" s="20" t="s">
        <v>90</v>
      </c>
      <c r="C50" s="21" t="n">
        <v>55</v>
      </c>
      <c r="D50" s="20" t="s">
        <v>30</v>
      </c>
      <c r="E50" s="20" t="s">
        <v>30</v>
      </c>
      <c r="F50" s="20" t="s">
        <v>31</v>
      </c>
      <c r="G50" s="22" t="n">
        <v>0.08</v>
      </c>
      <c r="H50" s="20"/>
      <c r="I50" s="20"/>
      <c r="J50" s="20" t="s">
        <v>173</v>
      </c>
      <c r="K50" s="20" t="s">
        <v>185</v>
      </c>
      <c r="L50" s="20" t="s">
        <v>177</v>
      </c>
      <c r="M50" s="20" t="n">
        <v>2</v>
      </c>
      <c r="N50" s="20" t="s">
        <v>42</v>
      </c>
      <c r="O50" s="20" t="s">
        <v>186</v>
      </c>
    </row>
    <row r="51" customFormat="false" ht="15" hidden="false" customHeight="false" outlineLevel="0" collapsed="false">
      <c r="A51" s="20" t="s">
        <v>106</v>
      </c>
      <c r="B51" s="20" t="s">
        <v>90</v>
      </c>
      <c r="C51" s="21" t="n">
        <v>55</v>
      </c>
      <c r="D51" s="20" t="s">
        <v>30</v>
      </c>
      <c r="E51" s="20" t="s">
        <v>30</v>
      </c>
      <c r="F51" s="20" t="s">
        <v>41</v>
      </c>
      <c r="G51" s="22" t="n">
        <v>0.08</v>
      </c>
      <c r="H51" s="20"/>
      <c r="I51" s="20"/>
      <c r="J51" s="20" t="s">
        <v>173</v>
      </c>
      <c r="K51" s="20" t="s">
        <v>185</v>
      </c>
      <c r="L51" s="20" t="s">
        <v>177</v>
      </c>
      <c r="M51" s="20" t="n">
        <v>2</v>
      </c>
      <c r="N51" s="20" t="s">
        <v>42</v>
      </c>
      <c r="O51" s="20" t="s">
        <v>186</v>
      </c>
    </row>
    <row r="52" customFormat="false" ht="15" hidden="false" customHeight="false" outlineLevel="0" collapsed="false">
      <c r="A52" s="20" t="s">
        <v>118</v>
      </c>
      <c r="B52" s="20" t="s">
        <v>90</v>
      </c>
      <c r="C52" s="21" t="n">
        <v>55</v>
      </c>
      <c r="D52" s="20" t="s">
        <v>30</v>
      </c>
      <c r="E52" s="20" t="s">
        <v>30</v>
      </c>
      <c r="F52" s="20" t="s">
        <v>98</v>
      </c>
      <c r="G52" s="22" t="n">
        <v>0.04</v>
      </c>
      <c r="H52" s="20" t="n">
        <v>1.07</v>
      </c>
      <c r="I52" s="20" t="n">
        <v>5</v>
      </c>
      <c r="J52" s="20" t="s">
        <v>173</v>
      </c>
      <c r="K52" s="20" t="s">
        <v>185</v>
      </c>
      <c r="L52" s="20" t="s">
        <v>177</v>
      </c>
      <c r="M52" s="20" t="n">
        <v>2</v>
      </c>
      <c r="N52" s="20" t="s">
        <v>42</v>
      </c>
      <c r="O52" s="20" t="s">
        <v>186</v>
      </c>
    </row>
    <row r="53" customFormat="false" ht="15" hidden="false" customHeight="false" outlineLevel="0" collapsed="false">
      <c r="A53" s="20" t="s">
        <v>121</v>
      </c>
      <c r="B53" s="20" t="s">
        <v>90</v>
      </c>
      <c r="C53" s="21" t="n">
        <v>55</v>
      </c>
      <c r="D53" s="20" t="s">
        <v>30</v>
      </c>
      <c r="E53" s="20" t="s">
        <v>59</v>
      </c>
      <c r="F53" s="20" t="s">
        <v>31</v>
      </c>
      <c r="G53" s="22" t="n">
        <v>0.02</v>
      </c>
      <c r="H53" s="20"/>
      <c r="I53" s="20"/>
      <c r="J53" s="20" t="s">
        <v>173</v>
      </c>
      <c r="K53" s="20" t="s">
        <v>185</v>
      </c>
      <c r="L53" s="20" t="s">
        <v>177</v>
      </c>
      <c r="M53" s="20" t="n">
        <v>2</v>
      </c>
      <c r="N53" s="20" t="s">
        <v>42</v>
      </c>
      <c r="O53" s="20" t="s">
        <v>186</v>
      </c>
    </row>
    <row r="54" customFormat="false" ht="15" hidden="false" customHeight="false" outlineLevel="0" collapsed="false">
      <c r="A54" s="20" t="s">
        <v>124</v>
      </c>
      <c r="B54" s="20" t="s">
        <v>90</v>
      </c>
      <c r="C54" s="21" t="n">
        <v>55</v>
      </c>
      <c r="D54" s="20" t="s">
        <v>30</v>
      </c>
      <c r="E54" s="20" t="s">
        <v>30</v>
      </c>
      <c r="F54" s="20" t="s">
        <v>41</v>
      </c>
      <c r="G54" s="22" t="n">
        <v>0.02</v>
      </c>
      <c r="H54" s="20"/>
      <c r="I54" s="20"/>
      <c r="J54" s="20" t="s">
        <v>173</v>
      </c>
      <c r="K54" s="20" t="s">
        <v>185</v>
      </c>
      <c r="L54" s="20" t="s">
        <v>177</v>
      </c>
      <c r="M54" s="20" t="n">
        <v>2</v>
      </c>
      <c r="N54" s="20" t="s">
        <v>42</v>
      </c>
      <c r="O54" s="20" t="s">
        <v>186</v>
      </c>
    </row>
    <row r="55" customFormat="false" ht="15" hidden="false" customHeight="false" outlineLevel="0" collapsed="false">
      <c r="A55" s="20" t="s">
        <v>126</v>
      </c>
      <c r="B55" s="20" t="s">
        <v>90</v>
      </c>
      <c r="C55" s="21" t="n">
        <v>55</v>
      </c>
      <c r="D55" s="20" t="s">
        <v>30</v>
      </c>
      <c r="E55" s="20" t="s">
        <v>59</v>
      </c>
      <c r="F55" s="20" t="s">
        <v>31</v>
      </c>
      <c r="G55" s="22"/>
      <c r="H55" s="20"/>
      <c r="I55" s="20"/>
      <c r="J55" s="20" t="s">
        <v>173</v>
      </c>
      <c r="K55" s="20" t="s">
        <v>185</v>
      </c>
      <c r="L55" s="20" t="s">
        <v>177</v>
      </c>
      <c r="M55" s="20" t="n">
        <v>2</v>
      </c>
      <c r="N55" s="20" t="s">
        <v>42</v>
      </c>
      <c r="O55" s="20" t="s">
        <v>186</v>
      </c>
    </row>
    <row r="56" customFormat="false" ht="15" hidden="false" customHeight="false" outlineLevel="0" collapsed="false">
      <c r="A56" s="20" t="s">
        <v>127</v>
      </c>
      <c r="B56" s="20" t="s">
        <v>90</v>
      </c>
      <c r="C56" s="21" t="n">
        <v>55</v>
      </c>
      <c r="D56" s="20" t="s">
        <v>30</v>
      </c>
      <c r="E56" s="20" t="s">
        <v>30</v>
      </c>
      <c r="F56" s="20" t="s">
        <v>41</v>
      </c>
      <c r="G56" s="22"/>
      <c r="H56" s="20"/>
      <c r="I56" s="20"/>
      <c r="J56" s="20" t="s">
        <v>173</v>
      </c>
      <c r="K56" s="20" t="s">
        <v>185</v>
      </c>
      <c r="L56" s="20" t="s">
        <v>177</v>
      </c>
      <c r="M56" s="20" t="n">
        <v>2</v>
      </c>
      <c r="N56" s="20" t="s">
        <v>42</v>
      </c>
      <c r="O56" s="20" t="s">
        <v>186</v>
      </c>
    </row>
    <row r="57" customFormat="false" ht="15" hidden="false" customHeight="false" outlineLevel="0" collapsed="false">
      <c r="A57" s="20" t="s">
        <v>128</v>
      </c>
      <c r="B57" s="20" t="s">
        <v>90</v>
      </c>
      <c r="C57" s="21" t="n">
        <v>55</v>
      </c>
      <c r="D57" s="20" t="s">
        <v>30</v>
      </c>
      <c r="E57" s="20" t="s">
        <v>30</v>
      </c>
      <c r="F57" s="20" t="s">
        <v>31</v>
      </c>
      <c r="G57" s="22"/>
      <c r="H57" s="20"/>
      <c r="I57" s="20"/>
      <c r="J57" s="20" t="s">
        <v>173</v>
      </c>
      <c r="K57" s="20" t="s">
        <v>185</v>
      </c>
      <c r="L57" s="20" t="s">
        <v>177</v>
      </c>
      <c r="M57" s="20" t="n">
        <v>2</v>
      </c>
      <c r="N57" s="20" t="s">
        <v>42</v>
      </c>
      <c r="O57" s="20" t="s">
        <v>186</v>
      </c>
    </row>
    <row r="58" customFormat="false" ht="15" hidden="false" customHeight="false" outlineLevel="0" collapsed="false">
      <c r="A58" s="20" t="s">
        <v>129</v>
      </c>
      <c r="B58" s="20" t="s">
        <v>90</v>
      </c>
      <c r="C58" s="21" t="n">
        <v>55</v>
      </c>
      <c r="D58" s="20" t="s">
        <v>30</v>
      </c>
      <c r="E58" s="20" t="s">
        <v>30</v>
      </c>
      <c r="F58" s="20" t="s">
        <v>98</v>
      </c>
      <c r="G58" s="22"/>
      <c r="H58" s="20"/>
      <c r="I58" s="20"/>
      <c r="J58" s="20" t="s">
        <v>173</v>
      </c>
      <c r="K58" s="20" t="s">
        <v>185</v>
      </c>
      <c r="L58" s="20" t="s">
        <v>177</v>
      </c>
      <c r="M58" s="20" t="n">
        <v>2</v>
      </c>
      <c r="N58" s="20" t="s">
        <v>42</v>
      </c>
      <c r="O58" s="20" t="s">
        <v>186</v>
      </c>
    </row>
    <row r="59" customFormat="false" ht="15" hidden="false" customHeight="false" outlineLevel="0" collapsed="false">
      <c r="A59" s="20" t="s">
        <v>130</v>
      </c>
      <c r="B59" s="20" t="s">
        <v>90</v>
      </c>
      <c r="C59" s="21" t="n">
        <v>55</v>
      </c>
      <c r="D59" s="20" t="s">
        <v>30</v>
      </c>
      <c r="E59" s="20" t="s">
        <v>30</v>
      </c>
      <c r="F59" s="20" t="s">
        <v>31</v>
      </c>
      <c r="G59" s="22"/>
      <c r="H59" s="20"/>
      <c r="I59" s="20"/>
      <c r="J59" s="20" t="s">
        <v>173</v>
      </c>
      <c r="K59" s="20" t="s">
        <v>185</v>
      </c>
      <c r="L59" s="20" t="s">
        <v>177</v>
      </c>
      <c r="M59" s="20" t="n">
        <v>2</v>
      </c>
      <c r="N59" s="20" t="s">
        <v>42</v>
      </c>
      <c r="O59" s="20" t="s">
        <v>186</v>
      </c>
    </row>
    <row r="60" customFormat="false" ht="15" hidden="false" customHeight="false" outlineLevel="0" collapsed="false">
      <c r="A60" s="20" t="s">
        <v>131</v>
      </c>
      <c r="B60" s="20" t="s">
        <v>90</v>
      </c>
      <c r="C60" s="21" t="n">
        <v>55</v>
      </c>
      <c r="D60" s="20" t="s">
        <v>30</v>
      </c>
      <c r="E60" s="20" t="s">
        <v>30</v>
      </c>
      <c r="F60" s="20" t="s">
        <v>31</v>
      </c>
      <c r="G60" s="22"/>
      <c r="H60" s="20"/>
      <c r="I60" s="20"/>
      <c r="J60" s="20" t="s">
        <v>173</v>
      </c>
      <c r="K60" s="20" t="s">
        <v>185</v>
      </c>
      <c r="L60" s="20" t="s">
        <v>177</v>
      </c>
      <c r="M60" s="20" t="n">
        <v>2</v>
      </c>
      <c r="N60" s="20" t="s">
        <v>42</v>
      </c>
      <c r="O60" s="20" t="s">
        <v>186</v>
      </c>
    </row>
    <row r="61" customFormat="false" ht="15" hidden="false" customHeight="false" outlineLevel="0" collapsed="false">
      <c r="A61" s="20" t="s">
        <v>145</v>
      </c>
      <c r="B61" s="20" t="s">
        <v>90</v>
      </c>
      <c r="C61" s="21" t="n">
        <v>55</v>
      </c>
      <c r="D61" s="20" t="s">
        <v>30</v>
      </c>
      <c r="E61" s="20" t="s">
        <v>30</v>
      </c>
      <c r="F61" s="20" t="s">
        <v>41</v>
      </c>
      <c r="G61" s="22"/>
      <c r="H61" s="20"/>
      <c r="I61" s="20"/>
      <c r="J61" s="20" t="s">
        <v>173</v>
      </c>
      <c r="K61" s="20" t="s">
        <v>185</v>
      </c>
      <c r="L61" s="20" t="s">
        <v>177</v>
      </c>
      <c r="M61" s="20" t="n">
        <v>2</v>
      </c>
      <c r="N61" s="20" t="s">
        <v>42</v>
      </c>
      <c r="O61" s="20" t="s">
        <v>186</v>
      </c>
    </row>
    <row r="62" customFormat="false" ht="15" hidden="false" customHeight="false" outlineLevel="0" collapsed="false">
      <c r="A62" s="20" t="s">
        <v>92</v>
      </c>
      <c r="B62" s="20" t="s">
        <v>90</v>
      </c>
      <c r="C62" s="21" t="n">
        <v>55</v>
      </c>
      <c r="D62" s="20" t="s">
        <v>30</v>
      </c>
      <c r="E62" s="20" t="s">
        <v>30</v>
      </c>
      <c r="F62" s="20" t="s">
        <v>31</v>
      </c>
      <c r="G62" s="22" t="n">
        <v>0.18</v>
      </c>
      <c r="H62" s="20"/>
      <c r="I62" s="20"/>
      <c r="J62" s="20" t="s">
        <v>173</v>
      </c>
      <c r="K62" s="20" t="s">
        <v>187</v>
      </c>
      <c r="L62" s="20" t="s">
        <v>188</v>
      </c>
      <c r="M62" s="20" t="n">
        <v>0.8</v>
      </c>
      <c r="N62" s="20" t="s">
        <v>42</v>
      </c>
      <c r="O62" s="20" t="s">
        <v>189</v>
      </c>
    </row>
    <row r="63" customFormat="false" ht="15" hidden="false" customHeight="false" outlineLevel="0" collapsed="false">
      <c r="A63" s="20" t="s">
        <v>94</v>
      </c>
      <c r="B63" s="20" t="s">
        <v>90</v>
      </c>
      <c r="C63" s="21" t="n">
        <v>55</v>
      </c>
      <c r="D63" s="20" t="s">
        <v>30</v>
      </c>
      <c r="E63" s="20" t="s">
        <v>30</v>
      </c>
      <c r="F63" s="20" t="s">
        <v>31</v>
      </c>
      <c r="G63" s="22" t="n">
        <v>0.18</v>
      </c>
      <c r="H63" s="20"/>
      <c r="I63" s="20"/>
      <c r="J63" s="20" t="s">
        <v>173</v>
      </c>
      <c r="K63" s="20" t="s">
        <v>187</v>
      </c>
      <c r="L63" s="20" t="s">
        <v>188</v>
      </c>
      <c r="M63" s="20" t="n">
        <v>0.8</v>
      </c>
      <c r="N63" s="20" t="s">
        <v>42</v>
      </c>
      <c r="O63" s="20" t="s">
        <v>189</v>
      </c>
    </row>
    <row r="64" customFormat="false" ht="15" hidden="false" customHeight="false" outlineLevel="0" collapsed="false">
      <c r="A64" s="20" t="s">
        <v>147</v>
      </c>
      <c r="B64" s="20" t="s">
        <v>90</v>
      </c>
      <c r="C64" s="21" t="n">
        <v>55</v>
      </c>
      <c r="D64" s="20" t="s">
        <v>30</v>
      </c>
      <c r="E64" s="20" t="s">
        <v>30</v>
      </c>
      <c r="F64" s="20" t="s">
        <v>31</v>
      </c>
      <c r="G64" s="22"/>
      <c r="H64" s="20"/>
      <c r="I64" s="20"/>
      <c r="J64" s="20" t="s">
        <v>173</v>
      </c>
      <c r="K64" s="20" t="s">
        <v>187</v>
      </c>
      <c r="L64" s="20" t="s">
        <v>188</v>
      </c>
      <c r="M64" s="20" t="n">
        <v>0.8</v>
      </c>
      <c r="N64" s="20" t="s">
        <v>42</v>
      </c>
      <c r="O64" s="20" t="s">
        <v>189</v>
      </c>
    </row>
    <row r="65" customFormat="false" ht="15" hidden="false" customHeight="false" outlineLevel="0" collapsed="false">
      <c r="A65" s="20" t="s">
        <v>148</v>
      </c>
      <c r="B65" s="20" t="s">
        <v>90</v>
      </c>
      <c r="C65" s="21" t="n">
        <v>55</v>
      </c>
      <c r="D65" s="20" t="s">
        <v>30</v>
      </c>
      <c r="E65" s="20" t="s">
        <v>117</v>
      </c>
      <c r="F65" s="20" t="s">
        <v>31</v>
      </c>
      <c r="G65" s="22"/>
      <c r="H65" s="20"/>
      <c r="I65" s="20"/>
      <c r="J65" s="20" t="s">
        <v>173</v>
      </c>
      <c r="K65" s="20" t="s">
        <v>187</v>
      </c>
      <c r="L65" s="20" t="s">
        <v>188</v>
      </c>
      <c r="M65" s="20" t="n">
        <v>0.8</v>
      </c>
      <c r="N65" s="20" t="s">
        <v>42</v>
      </c>
      <c r="O65" s="20" t="s">
        <v>189</v>
      </c>
    </row>
    <row r="66" customFormat="false" ht="15" hidden="false" customHeight="false" outlineLevel="0" collapsed="false">
      <c r="A66" s="20" t="s">
        <v>101</v>
      </c>
      <c r="B66" s="20" t="s">
        <v>90</v>
      </c>
      <c r="C66" s="21" t="n">
        <v>55</v>
      </c>
      <c r="D66" s="20" t="s">
        <v>30</v>
      </c>
      <c r="E66" s="20" t="s">
        <v>59</v>
      </c>
      <c r="F66" s="20" t="s">
        <v>41</v>
      </c>
      <c r="G66" s="22" t="n">
        <v>0.1</v>
      </c>
      <c r="H66" s="20" t="n">
        <v>0.94</v>
      </c>
      <c r="I66" s="20" t="n">
        <v>4.87</v>
      </c>
      <c r="J66" s="20" t="s">
        <v>173</v>
      </c>
      <c r="K66" s="20" t="s">
        <v>190</v>
      </c>
      <c r="L66" s="20" t="s">
        <v>175</v>
      </c>
      <c r="M66" s="20" t="n">
        <v>2</v>
      </c>
      <c r="N66" s="20" t="s">
        <v>42</v>
      </c>
      <c r="O66" s="20" t="s">
        <v>191</v>
      </c>
    </row>
    <row r="67" customFormat="false" ht="15" hidden="false" customHeight="false" outlineLevel="0" collapsed="false">
      <c r="A67" s="20" t="s">
        <v>103</v>
      </c>
      <c r="B67" s="20" t="s">
        <v>90</v>
      </c>
      <c r="C67" s="21" t="n">
        <v>55</v>
      </c>
      <c r="D67" s="20" t="s">
        <v>30</v>
      </c>
      <c r="E67" s="20" t="s">
        <v>59</v>
      </c>
      <c r="F67" s="20" t="s">
        <v>41</v>
      </c>
      <c r="G67" s="22" t="n">
        <v>0.1</v>
      </c>
      <c r="H67" s="20" t="n">
        <v>0.94</v>
      </c>
      <c r="I67" s="20" t="n">
        <v>4.87</v>
      </c>
      <c r="J67" s="20" t="s">
        <v>173</v>
      </c>
      <c r="K67" s="20" t="s">
        <v>190</v>
      </c>
      <c r="L67" s="20" t="s">
        <v>175</v>
      </c>
      <c r="M67" s="20" t="n">
        <v>2</v>
      </c>
      <c r="N67" s="20" t="s">
        <v>42</v>
      </c>
      <c r="O67" s="20" t="s">
        <v>191</v>
      </c>
    </row>
    <row r="68" customFormat="false" ht="15" hidden="false" customHeight="false" outlineLevel="0" collapsed="false">
      <c r="A68" s="20" t="s">
        <v>123</v>
      </c>
      <c r="B68" s="20" t="s">
        <v>90</v>
      </c>
      <c r="C68" s="21" t="n">
        <v>55</v>
      </c>
      <c r="D68" s="20" t="s">
        <v>30</v>
      </c>
      <c r="E68" s="20" t="s">
        <v>30</v>
      </c>
      <c r="F68" s="20" t="s">
        <v>98</v>
      </c>
      <c r="G68" s="22" t="n">
        <v>0.02</v>
      </c>
      <c r="H68" s="20" t="n">
        <v>0.83</v>
      </c>
      <c r="I68" s="20" t="n">
        <v>5.91</v>
      </c>
      <c r="J68" s="20" t="s">
        <v>173</v>
      </c>
      <c r="K68" s="20" t="s">
        <v>190</v>
      </c>
      <c r="L68" s="20" t="s">
        <v>175</v>
      </c>
      <c r="M68" s="20" t="n">
        <v>2</v>
      </c>
      <c r="N68" s="20" t="s">
        <v>42</v>
      </c>
      <c r="O68" s="20" t="s">
        <v>191</v>
      </c>
    </row>
    <row r="69" customFormat="false" ht="23.85" hidden="false" customHeight="false" outlineLevel="0" collapsed="false">
      <c r="A69" s="23" t="s">
        <v>27</v>
      </c>
      <c r="B69" s="23" t="s">
        <v>29</v>
      </c>
      <c r="C69" s="24" t="n">
        <v>55000</v>
      </c>
      <c r="D69" s="23" t="s">
        <v>30</v>
      </c>
      <c r="E69" s="23" t="s">
        <v>30</v>
      </c>
      <c r="F69" s="23" t="s">
        <v>31</v>
      </c>
      <c r="G69" s="25" t="n">
        <v>0.06</v>
      </c>
      <c r="H69" s="23" t="n">
        <v>1.56</v>
      </c>
      <c r="I69" s="23" t="n">
        <v>5.71</v>
      </c>
      <c r="J69" s="23" t="s">
        <v>192</v>
      </c>
      <c r="K69" s="23" t="s">
        <v>193</v>
      </c>
      <c r="L69" s="23" t="s">
        <v>188</v>
      </c>
      <c r="M69" s="23" t="n">
        <v>1.2</v>
      </c>
      <c r="N69" s="23" t="s">
        <v>32</v>
      </c>
      <c r="O69" s="23" t="s">
        <v>194</v>
      </c>
    </row>
    <row r="70" customFormat="false" ht="15" hidden="false" customHeight="false" outlineLevel="0" collapsed="false">
      <c r="A70" s="23" t="s">
        <v>50</v>
      </c>
      <c r="B70" s="23" t="s">
        <v>40</v>
      </c>
      <c r="C70" s="24" t="n">
        <v>5500</v>
      </c>
      <c r="D70" s="23" t="s">
        <v>30</v>
      </c>
      <c r="E70" s="23" t="s">
        <v>30</v>
      </c>
      <c r="F70" s="23" t="s">
        <v>31</v>
      </c>
      <c r="G70" s="25" t="n">
        <v>0.02</v>
      </c>
      <c r="H70" s="23" t="n">
        <v>1.34</v>
      </c>
      <c r="I70" s="23" t="n">
        <v>4.86</v>
      </c>
      <c r="J70" s="23" t="s">
        <v>192</v>
      </c>
      <c r="K70" s="23" t="s">
        <v>195</v>
      </c>
      <c r="L70" s="23" t="s">
        <v>177</v>
      </c>
      <c r="M70" s="23" t="n">
        <v>1.2</v>
      </c>
      <c r="N70" s="23" t="s">
        <v>51</v>
      </c>
      <c r="O70" s="23" t="s">
        <v>196</v>
      </c>
    </row>
    <row r="71" customFormat="false" ht="15" hidden="false" customHeight="false" outlineLevel="0" collapsed="false">
      <c r="A71" s="23" t="s">
        <v>63</v>
      </c>
      <c r="B71" s="23" t="s">
        <v>56</v>
      </c>
      <c r="C71" s="24" t="n">
        <v>550</v>
      </c>
      <c r="D71" s="23" t="s">
        <v>30</v>
      </c>
      <c r="E71" s="23" t="s">
        <v>30</v>
      </c>
      <c r="F71" s="23" t="s">
        <v>31</v>
      </c>
      <c r="G71" s="25" t="n">
        <v>0.05</v>
      </c>
      <c r="H71" s="23" t="n">
        <v>0.91</v>
      </c>
      <c r="I71" s="23" t="n">
        <v>2.77</v>
      </c>
      <c r="J71" s="23" t="s">
        <v>192</v>
      </c>
      <c r="K71" s="23" t="s">
        <v>195</v>
      </c>
      <c r="L71" s="23" t="s">
        <v>177</v>
      </c>
      <c r="M71" s="23" t="n">
        <v>1.2</v>
      </c>
      <c r="N71" s="23" t="s">
        <v>51</v>
      </c>
      <c r="O71" s="23" t="s">
        <v>196</v>
      </c>
    </row>
    <row r="72" customFormat="false" ht="15" hidden="false" customHeight="false" outlineLevel="0" collapsed="false">
      <c r="A72" s="23" t="s">
        <v>64</v>
      </c>
      <c r="B72" s="23" t="s">
        <v>56</v>
      </c>
      <c r="C72" s="24" t="n">
        <v>550</v>
      </c>
      <c r="D72" s="23" t="s">
        <v>30</v>
      </c>
      <c r="E72" s="23" t="s">
        <v>30</v>
      </c>
      <c r="F72" s="23" t="s">
        <v>31</v>
      </c>
      <c r="G72" s="25" t="n">
        <v>0.05</v>
      </c>
      <c r="H72" s="23" t="n">
        <v>0.91</v>
      </c>
      <c r="I72" s="23" t="n">
        <v>2.77</v>
      </c>
      <c r="J72" s="23" t="s">
        <v>192</v>
      </c>
      <c r="K72" s="23" t="s">
        <v>195</v>
      </c>
      <c r="L72" s="23" t="s">
        <v>177</v>
      </c>
      <c r="M72" s="23" t="n">
        <v>1.2</v>
      </c>
      <c r="N72" s="23" t="s">
        <v>51</v>
      </c>
      <c r="O72" s="23" t="s">
        <v>196</v>
      </c>
    </row>
    <row r="73" customFormat="false" ht="15" hidden="false" customHeight="false" outlineLevel="0" collapsed="false">
      <c r="A73" s="23" t="s">
        <v>65</v>
      </c>
      <c r="B73" s="23" t="s">
        <v>56</v>
      </c>
      <c r="C73" s="24" t="n">
        <v>550</v>
      </c>
      <c r="D73" s="23" t="s">
        <v>30</v>
      </c>
      <c r="E73" s="23" t="s">
        <v>30</v>
      </c>
      <c r="F73" s="23" t="s">
        <v>31</v>
      </c>
      <c r="G73" s="25" t="n">
        <v>0.05</v>
      </c>
      <c r="H73" s="23" t="n">
        <v>0.91</v>
      </c>
      <c r="I73" s="23" t="n">
        <v>2.77</v>
      </c>
      <c r="J73" s="23" t="s">
        <v>192</v>
      </c>
      <c r="K73" s="23" t="s">
        <v>195</v>
      </c>
      <c r="L73" s="23" t="s">
        <v>177</v>
      </c>
      <c r="M73" s="23" t="n">
        <v>1.2</v>
      </c>
      <c r="N73" s="23" t="s">
        <v>51</v>
      </c>
      <c r="O73" s="23" t="s">
        <v>196</v>
      </c>
    </row>
    <row r="74" customFormat="false" ht="15" hidden="false" customHeight="false" outlineLevel="0" collapsed="false">
      <c r="A74" s="23" t="s">
        <v>81</v>
      </c>
      <c r="B74" s="23" t="s">
        <v>56</v>
      </c>
      <c r="C74" s="24" t="n">
        <v>550</v>
      </c>
      <c r="D74" s="23" t="s">
        <v>30</v>
      </c>
      <c r="E74" s="23" t="s">
        <v>30</v>
      </c>
      <c r="F74" s="23" t="s">
        <v>31</v>
      </c>
      <c r="G74" s="25" t="n">
        <v>0.005</v>
      </c>
      <c r="H74" s="23" t="n">
        <v>1.77</v>
      </c>
      <c r="I74" s="23" t="n">
        <v>5.17</v>
      </c>
      <c r="J74" s="23" t="s">
        <v>192</v>
      </c>
      <c r="K74" s="23" t="s">
        <v>195</v>
      </c>
      <c r="L74" s="23" t="s">
        <v>177</v>
      </c>
      <c r="M74" s="23" t="n">
        <v>1.2</v>
      </c>
      <c r="N74" s="23" t="s">
        <v>51</v>
      </c>
      <c r="O74" s="23" t="s">
        <v>196</v>
      </c>
    </row>
    <row r="75" customFormat="false" ht="15" hidden="false" customHeight="false" outlineLevel="0" collapsed="false">
      <c r="A75" s="23" t="s">
        <v>132</v>
      </c>
      <c r="B75" s="23" t="s">
        <v>90</v>
      </c>
      <c r="C75" s="24" t="n">
        <v>55</v>
      </c>
      <c r="D75" s="23" t="s">
        <v>30</v>
      </c>
      <c r="E75" s="23" t="s">
        <v>30</v>
      </c>
      <c r="F75" s="23" t="s">
        <v>41</v>
      </c>
      <c r="G75" s="25"/>
      <c r="H75" s="23" t="n">
        <v>3.69</v>
      </c>
      <c r="I75" s="23" t="n">
        <v>8.54</v>
      </c>
      <c r="J75" s="23" t="s">
        <v>192</v>
      </c>
      <c r="K75" s="23" t="s">
        <v>195</v>
      </c>
      <c r="L75" s="23" t="s">
        <v>177</v>
      </c>
      <c r="M75" s="23" t="n">
        <v>1.2</v>
      </c>
      <c r="N75" s="23" t="s">
        <v>51</v>
      </c>
      <c r="O75" s="23" t="s">
        <v>196</v>
      </c>
    </row>
    <row r="76" customFormat="false" ht="15" hidden="false" customHeight="false" outlineLevel="0" collapsed="false">
      <c r="A76" s="23" t="s">
        <v>133</v>
      </c>
      <c r="B76" s="23" t="s">
        <v>90</v>
      </c>
      <c r="C76" s="24" t="n">
        <v>55</v>
      </c>
      <c r="D76" s="23" t="s">
        <v>117</v>
      </c>
      <c r="E76" s="23" t="s">
        <v>30</v>
      </c>
      <c r="F76" s="23" t="s">
        <v>98</v>
      </c>
      <c r="G76" s="25"/>
      <c r="H76" s="23"/>
      <c r="I76" s="23"/>
      <c r="J76" s="23" t="s">
        <v>192</v>
      </c>
      <c r="K76" s="23" t="s">
        <v>195</v>
      </c>
      <c r="L76" s="23" t="s">
        <v>177</v>
      </c>
      <c r="M76" s="23" t="n">
        <v>1.2</v>
      </c>
      <c r="N76" s="23" t="s">
        <v>51</v>
      </c>
      <c r="O76" s="23" t="s">
        <v>196</v>
      </c>
    </row>
    <row r="77" customFormat="false" ht="15" hidden="false" customHeight="false" outlineLevel="0" collapsed="false">
      <c r="A77" s="23" t="s">
        <v>135</v>
      </c>
      <c r="B77" s="23" t="s">
        <v>90</v>
      </c>
      <c r="C77" s="24" t="n">
        <v>55</v>
      </c>
      <c r="D77" s="23" t="s">
        <v>30</v>
      </c>
      <c r="E77" s="23" t="s">
        <v>30</v>
      </c>
      <c r="F77" s="23" t="s">
        <v>98</v>
      </c>
      <c r="G77" s="25"/>
      <c r="H77" s="23" t="n">
        <v>1.11</v>
      </c>
      <c r="I77" s="23" t="n">
        <v>3.46</v>
      </c>
      <c r="J77" s="23" t="s">
        <v>192</v>
      </c>
      <c r="K77" s="23" t="s">
        <v>195</v>
      </c>
      <c r="L77" s="23" t="s">
        <v>177</v>
      </c>
      <c r="M77" s="23" t="n">
        <v>1.2</v>
      </c>
      <c r="N77" s="23" t="s">
        <v>51</v>
      </c>
      <c r="O77" s="23" t="s">
        <v>196</v>
      </c>
    </row>
    <row r="78" customFormat="false" ht="15" hidden="false" customHeight="false" outlineLevel="0" collapsed="false">
      <c r="A78" s="23" t="s">
        <v>146</v>
      </c>
      <c r="B78" s="23" t="s">
        <v>90</v>
      </c>
      <c r="C78" s="24" t="n">
        <v>55</v>
      </c>
      <c r="D78" s="23" t="s">
        <v>30</v>
      </c>
      <c r="E78" s="23" t="s">
        <v>30</v>
      </c>
      <c r="F78" s="23" t="s">
        <v>31</v>
      </c>
      <c r="G78" s="25"/>
      <c r="H78" s="23"/>
      <c r="I78" s="23"/>
      <c r="J78" s="23" t="s">
        <v>192</v>
      </c>
      <c r="K78" s="23" t="s">
        <v>195</v>
      </c>
      <c r="L78" s="23" t="s">
        <v>177</v>
      </c>
      <c r="M78" s="23" t="n">
        <v>1.2</v>
      </c>
      <c r="N78" s="23" t="s">
        <v>51</v>
      </c>
      <c r="O78" s="23" t="s">
        <v>196</v>
      </c>
    </row>
    <row r="79" customFormat="false" ht="23.85" hidden="false" customHeight="false" outlineLevel="0" collapsed="false">
      <c r="A79" s="26" t="s">
        <v>45</v>
      </c>
      <c r="B79" s="26" t="s">
        <v>40</v>
      </c>
      <c r="C79" s="27" t="n">
        <v>5500</v>
      </c>
      <c r="D79" s="26" t="s">
        <v>30</v>
      </c>
      <c r="E79" s="26" t="s">
        <v>30</v>
      </c>
      <c r="F79" s="26" t="s">
        <v>41</v>
      </c>
      <c r="G79" s="28" t="n">
        <v>0.04</v>
      </c>
      <c r="H79" s="26" t="n">
        <v>1.39</v>
      </c>
      <c r="I79" s="26" t="n">
        <v>5</v>
      </c>
      <c r="J79" s="26" t="s">
        <v>192</v>
      </c>
      <c r="K79" s="26" t="s">
        <v>197</v>
      </c>
      <c r="L79" s="26" t="s">
        <v>177</v>
      </c>
      <c r="M79" s="26" t="n">
        <v>0.8</v>
      </c>
      <c r="N79" s="26" t="s">
        <v>46</v>
      </c>
      <c r="O79" s="26" t="s">
        <v>198</v>
      </c>
    </row>
    <row r="80" customFormat="false" ht="23.85" hidden="false" customHeight="false" outlineLevel="0" collapsed="false">
      <c r="A80" s="26" t="s">
        <v>54</v>
      </c>
      <c r="B80" s="26" t="s">
        <v>40</v>
      </c>
      <c r="C80" s="27" t="n">
        <v>5500</v>
      </c>
      <c r="D80" s="26" t="s">
        <v>30</v>
      </c>
      <c r="E80" s="26" t="s">
        <v>30</v>
      </c>
      <c r="F80" s="26" t="s">
        <v>31</v>
      </c>
      <c r="G80" s="28"/>
      <c r="H80" s="26" t="n">
        <v>2</v>
      </c>
      <c r="I80" s="26" t="n">
        <v>6.98</v>
      </c>
      <c r="J80" s="26" t="s">
        <v>192</v>
      </c>
      <c r="K80" s="26" t="s">
        <v>197</v>
      </c>
      <c r="L80" s="26" t="s">
        <v>177</v>
      </c>
      <c r="M80" s="26" t="n">
        <v>0.8</v>
      </c>
      <c r="N80" s="26" t="s">
        <v>46</v>
      </c>
      <c r="O80" s="26" t="s">
        <v>198</v>
      </c>
    </row>
    <row r="81" customFormat="false" ht="23.85" hidden="false" customHeight="false" outlineLevel="0" collapsed="false">
      <c r="A81" s="26" t="s">
        <v>87</v>
      </c>
      <c r="B81" s="26" t="s">
        <v>56</v>
      </c>
      <c r="C81" s="27" t="n">
        <v>550</v>
      </c>
      <c r="D81" s="26" t="s">
        <v>30</v>
      </c>
      <c r="E81" s="26" t="s">
        <v>30</v>
      </c>
      <c r="F81" s="26" t="s">
        <v>31</v>
      </c>
      <c r="G81" s="28"/>
      <c r="H81" s="26"/>
      <c r="I81" s="26"/>
      <c r="J81" s="26" t="s">
        <v>192</v>
      </c>
      <c r="K81" s="26" t="s">
        <v>197</v>
      </c>
      <c r="L81" s="26" t="s">
        <v>177</v>
      </c>
      <c r="M81" s="26" t="n">
        <v>0.8</v>
      </c>
      <c r="N81" s="26" t="s">
        <v>46</v>
      </c>
      <c r="O81" s="26" t="s">
        <v>198</v>
      </c>
    </row>
    <row r="82" customFormat="false" ht="23.85" hidden="false" customHeight="false" outlineLevel="0" collapsed="false">
      <c r="A82" s="26" t="s">
        <v>144</v>
      </c>
      <c r="B82" s="26" t="s">
        <v>90</v>
      </c>
      <c r="C82" s="27" t="n">
        <v>55</v>
      </c>
      <c r="D82" s="26" t="s">
        <v>30</v>
      </c>
      <c r="E82" s="26" t="s">
        <v>117</v>
      </c>
      <c r="F82" s="26" t="s">
        <v>31</v>
      </c>
      <c r="G82" s="28"/>
      <c r="H82" s="26"/>
      <c r="I82" s="26"/>
      <c r="J82" s="26" t="s">
        <v>192</v>
      </c>
      <c r="K82" s="26" t="s">
        <v>197</v>
      </c>
      <c r="L82" s="26" t="s">
        <v>177</v>
      </c>
      <c r="M82" s="26" t="n">
        <v>0.8</v>
      </c>
      <c r="N82" s="26" t="s">
        <v>46</v>
      </c>
      <c r="O82" s="26" t="s">
        <v>198</v>
      </c>
    </row>
    <row r="83" customFormat="false" ht="23.85" hidden="false" customHeight="false" outlineLevel="0" collapsed="false">
      <c r="A83" s="26" t="s">
        <v>37</v>
      </c>
      <c r="B83" s="26" t="s">
        <v>56</v>
      </c>
      <c r="C83" s="27" t="n">
        <v>550</v>
      </c>
      <c r="D83" s="26" t="s">
        <v>30</v>
      </c>
      <c r="E83" s="26" t="s">
        <v>59</v>
      </c>
      <c r="F83" s="26" t="s">
        <v>31</v>
      </c>
      <c r="G83" s="28" t="n">
        <v>0.005</v>
      </c>
      <c r="H83" s="26"/>
      <c r="I83" s="26"/>
      <c r="J83" s="26" t="s">
        <v>192</v>
      </c>
      <c r="K83" s="26" t="s">
        <v>199</v>
      </c>
      <c r="L83" s="26" t="s">
        <v>177</v>
      </c>
      <c r="M83" s="26" t="n">
        <v>1</v>
      </c>
      <c r="N83" s="26" t="s">
        <v>46</v>
      </c>
      <c r="O83" s="26" t="s">
        <v>200</v>
      </c>
    </row>
    <row r="84" customFormat="false" ht="23.85" hidden="false" customHeight="false" outlineLevel="0" collapsed="false">
      <c r="A84" s="26" t="s">
        <v>88</v>
      </c>
      <c r="B84" s="26" t="s">
        <v>56</v>
      </c>
      <c r="C84" s="27" t="n">
        <v>550</v>
      </c>
      <c r="D84" s="26" t="s">
        <v>30</v>
      </c>
      <c r="E84" s="26" t="s">
        <v>30</v>
      </c>
      <c r="F84" s="26" t="s">
        <v>31</v>
      </c>
      <c r="G84" s="28"/>
      <c r="H84" s="26"/>
      <c r="I84" s="26"/>
      <c r="J84" s="26" t="s">
        <v>192</v>
      </c>
      <c r="K84" s="26" t="s">
        <v>199</v>
      </c>
      <c r="L84" s="26" t="s">
        <v>177</v>
      </c>
      <c r="M84" s="26" t="n">
        <v>1</v>
      </c>
      <c r="N84" s="26" t="s">
        <v>46</v>
      </c>
      <c r="O84" s="26" t="s">
        <v>200</v>
      </c>
    </row>
    <row r="85" customFormat="false" ht="23.85" hidden="false" customHeight="false" outlineLevel="0" collapsed="false">
      <c r="A85" s="26" t="s">
        <v>136</v>
      </c>
      <c r="B85" s="26" t="s">
        <v>90</v>
      </c>
      <c r="C85" s="27" t="n">
        <v>55</v>
      </c>
      <c r="D85" s="26" t="s">
        <v>30</v>
      </c>
      <c r="E85" s="26" t="s">
        <v>30</v>
      </c>
      <c r="F85" s="26" t="s">
        <v>31</v>
      </c>
      <c r="G85" s="28"/>
      <c r="H85" s="26"/>
      <c r="I85" s="26"/>
      <c r="J85" s="26" t="s">
        <v>192</v>
      </c>
      <c r="K85" s="26" t="s">
        <v>199</v>
      </c>
      <c r="L85" s="26" t="s">
        <v>177</v>
      </c>
      <c r="M85" s="26" t="n">
        <v>1</v>
      </c>
      <c r="N85" s="26" t="s">
        <v>46</v>
      </c>
      <c r="O85" s="26" t="s">
        <v>200</v>
      </c>
    </row>
    <row r="86" customFormat="false" ht="15" hidden="false" customHeight="false" outlineLevel="0" collapsed="false">
      <c r="A86" s="29" t="s">
        <v>139</v>
      </c>
      <c r="B86" s="29" t="s">
        <v>90</v>
      </c>
      <c r="C86" s="30" t="n">
        <v>55</v>
      </c>
      <c r="D86" s="29" t="s">
        <v>30</v>
      </c>
      <c r="E86" s="29" t="s">
        <v>30</v>
      </c>
      <c r="F86" s="29" t="s">
        <v>31</v>
      </c>
      <c r="G86" s="31"/>
      <c r="H86" s="29" t="n">
        <v>1.19</v>
      </c>
      <c r="I86" s="29" t="n">
        <v>5</v>
      </c>
      <c r="J86" s="29" t="s">
        <v>150</v>
      </c>
      <c r="K86" s="29" t="s">
        <v>150</v>
      </c>
      <c r="L86" s="29" t="s">
        <v>150</v>
      </c>
      <c r="M86" s="29"/>
      <c r="N86" s="29" t="s">
        <v>141</v>
      </c>
      <c r="O86" s="29" t="s">
        <v>201</v>
      </c>
    </row>
    <row r="87" customFormat="false" ht="15" hidden="false" customHeight="false" outlineLevel="0" collapsed="false">
      <c r="A87" s="29" t="s">
        <v>142</v>
      </c>
      <c r="B87" s="29" t="s">
        <v>90</v>
      </c>
      <c r="C87" s="30" t="n">
        <v>55</v>
      </c>
      <c r="D87" s="29" t="s">
        <v>30</v>
      </c>
      <c r="E87" s="29" t="s">
        <v>117</v>
      </c>
      <c r="F87" s="29" t="s">
        <v>41</v>
      </c>
      <c r="G87" s="31"/>
      <c r="H87" s="29"/>
      <c r="I87" s="29"/>
      <c r="J87" s="29" t="s">
        <v>150</v>
      </c>
      <c r="K87" s="29" t="s">
        <v>150</v>
      </c>
      <c r="L87" s="29" t="s">
        <v>150</v>
      </c>
      <c r="M87" s="29"/>
      <c r="N87" s="29" t="s">
        <v>141</v>
      </c>
      <c r="O87" s="29" t="s">
        <v>201</v>
      </c>
    </row>
    <row r="88" customFormat="false" ht="15" hidden="false" customHeight="false" outlineLevel="0" collapsed="false">
      <c r="A88" s="29" t="s">
        <v>143</v>
      </c>
      <c r="B88" s="29" t="s">
        <v>90</v>
      </c>
      <c r="C88" s="30" t="n">
        <v>55</v>
      </c>
      <c r="D88" s="29" t="s">
        <v>30</v>
      </c>
      <c r="E88" s="29" t="s">
        <v>30</v>
      </c>
      <c r="F88" s="29" t="s">
        <v>31</v>
      </c>
      <c r="G88" s="31"/>
      <c r="H88" s="29"/>
      <c r="I88" s="29"/>
      <c r="J88" s="29" t="s">
        <v>150</v>
      </c>
      <c r="K88" s="29" t="s">
        <v>150</v>
      </c>
      <c r="L88" s="29" t="s">
        <v>150</v>
      </c>
      <c r="M88" s="29"/>
      <c r="N88" s="29" t="s">
        <v>141</v>
      </c>
      <c r="O88" s="29" t="s">
        <v>201</v>
      </c>
    </row>
    <row r="89" customFormat="false" ht="23.85" hidden="false" customHeight="false" outlineLevel="0" collapsed="false">
      <c r="A89" s="29" t="s">
        <v>33</v>
      </c>
      <c r="B89" s="29" t="s">
        <v>29</v>
      </c>
      <c r="C89" s="30" t="n">
        <v>55000</v>
      </c>
      <c r="D89" s="29" t="s">
        <v>30</v>
      </c>
      <c r="E89" s="29" t="s">
        <v>30</v>
      </c>
      <c r="F89" s="29" t="s">
        <v>31</v>
      </c>
      <c r="G89" s="31" t="n">
        <v>0.02</v>
      </c>
      <c r="H89" s="29" t="n">
        <v>1.15</v>
      </c>
      <c r="I89" s="29" t="n">
        <v>5.82</v>
      </c>
      <c r="J89" s="29" t="s">
        <v>150</v>
      </c>
      <c r="K89" s="29" t="s">
        <v>150</v>
      </c>
      <c r="L89" s="29" t="s">
        <v>150</v>
      </c>
      <c r="M89" s="29"/>
      <c r="N89" s="29" t="s">
        <v>35</v>
      </c>
      <c r="O89" s="29" t="s">
        <v>202</v>
      </c>
    </row>
    <row r="90" customFormat="false" ht="23.85" hidden="false" customHeight="false" outlineLevel="0" collapsed="false">
      <c r="A90" s="29" t="s">
        <v>36</v>
      </c>
      <c r="B90" s="29" t="s">
        <v>29</v>
      </c>
      <c r="C90" s="30" t="n">
        <v>55000</v>
      </c>
      <c r="D90" s="29" t="s">
        <v>30</v>
      </c>
      <c r="E90" s="29" t="s">
        <v>30</v>
      </c>
      <c r="F90" s="29" t="s">
        <v>31</v>
      </c>
      <c r="G90" s="31" t="n">
        <v>0.005</v>
      </c>
      <c r="H90" s="29"/>
      <c r="I90" s="29"/>
      <c r="J90" s="29" t="s">
        <v>150</v>
      </c>
      <c r="K90" s="29" t="s">
        <v>150</v>
      </c>
      <c r="L90" s="29" t="s">
        <v>150</v>
      </c>
      <c r="M90" s="29"/>
      <c r="N90" s="29" t="s">
        <v>35</v>
      </c>
      <c r="O90" s="29" t="s">
        <v>202</v>
      </c>
    </row>
    <row r="91" customFormat="false" ht="15" hidden="false" customHeight="false" outlineLevel="0" collapsed="false">
      <c r="A91" s="29" t="s">
        <v>84</v>
      </c>
      <c r="B91" s="29" t="s">
        <v>56</v>
      </c>
      <c r="C91" s="30" t="n">
        <v>550</v>
      </c>
      <c r="D91" s="29" t="s">
        <v>30</v>
      </c>
      <c r="E91" s="29" t="s">
        <v>59</v>
      </c>
      <c r="F91" s="29" t="s">
        <v>31</v>
      </c>
      <c r="G91" s="31" t="n">
        <v>0.005</v>
      </c>
      <c r="H91" s="29"/>
      <c r="I91" s="29"/>
      <c r="J91" s="29" t="s">
        <v>150</v>
      </c>
      <c r="K91" s="29" t="s">
        <v>150</v>
      </c>
      <c r="L91" s="29" t="s">
        <v>150</v>
      </c>
      <c r="M91" s="29"/>
      <c r="N91" s="29" t="s">
        <v>85</v>
      </c>
      <c r="O91" s="29" t="s">
        <v>203</v>
      </c>
    </row>
    <row r="92" customFormat="false" ht="15" hidden="false" customHeight="false" outlineLevel="0" collapsed="false">
      <c r="A92" s="29" t="s">
        <v>107</v>
      </c>
      <c r="B92" s="29" t="s">
        <v>90</v>
      </c>
      <c r="C92" s="30" t="n">
        <v>55</v>
      </c>
      <c r="D92" s="29" t="s">
        <v>30</v>
      </c>
      <c r="E92" s="29" t="s">
        <v>30</v>
      </c>
      <c r="F92" s="29" t="s">
        <v>41</v>
      </c>
      <c r="G92" s="31" t="n">
        <v>0.08</v>
      </c>
      <c r="H92" s="29" t="n">
        <v>1.99</v>
      </c>
      <c r="I92" s="29" t="n">
        <v>6.67</v>
      </c>
      <c r="J92" s="29" t="s">
        <v>150</v>
      </c>
      <c r="K92" s="29" t="s">
        <v>150</v>
      </c>
      <c r="L92" s="29" t="s">
        <v>150</v>
      </c>
      <c r="M92" s="29"/>
      <c r="N92" s="29" t="s">
        <v>85</v>
      </c>
      <c r="O92" s="29" t="s">
        <v>204</v>
      </c>
    </row>
    <row r="93" customFormat="false" ht="15" hidden="false" customHeight="false" outlineLevel="0" collapsed="false">
      <c r="A93" s="29" t="s">
        <v>109</v>
      </c>
      <c r="B93" s="29" t="s">
        <v>90</v>
      </c>
      <c r="C93" s="30" t="n">
        <v>55</v>
      </c>
      <c r="D93" s="29" t="s">
        <v>30</v>
      </c>
      <c r="E93" s="29" t="s">
        <v>30</v>
      </c>
      <c r="F93" s="29" t="s">
        <v>41</v>
      </c>
      <c r="G93" s="31" t="n">
        <v>0.08</v>
      </c>
      <c r="H93" s="29"/>
      <c r="I93" s="29"/>
      <c r="J93" s="29" t="s">
        <v>150</v>
      </c>
      <c r="K93" s="29" t="s">
        <v>150</v>
      </c>
      <c r="L93" s="29" t="s">
        <v>150</v>
      </c>
      <c r="M93" s="29"/>
      <c r="N93" s="29" t="s">
        <v>85</v>
      </c>
      <c r="O93" s="29" t="s">
        <v>203</v>
      </c>
    </row>
    <row r="94" customFormat="false" ht="15" hidden="false" customHeight="false" outlineLevel="0" collapsed="false">
      <c r="A94" s="29" t="s">
        <v>115</v>
      </c>
      <c r="B94" s="29" t="s">
        <v>90</v>
      </c>
      <c r="C94" s="30" t="n">
        <v>55</v>
      </c>
      <c r="D94" s="29" t="s">
        <v>53</v>
      </c>
      <c r="E94" s="29" t="s">
        <v>30</v>
      </c>
      <c r="F94" s="29" t="s">
        <v>41</v>
      </c>
      <c r="G94" s="31" t="n">
        <v>0.04</v>
      </c>
      <c r="H94" s="29"/>
      <c r="I94" s="29"/>
      <c r="J94" s="29" t="s">
        <v>150</v>
      </c>
      <c r="K94" s="29" t="s">
        <v>150</v>
      </c>
      <c r="L94" s="29" t="s">
        <v>150</v>
      </c>
      <c r="M94" s="29"/>
      <c r="N94" s="29" t="s">
        <v>85</v>
      </c>
      <c r="O94" s="29" t="s">
        <v>204</v>
      </c>
    </row>
    <row r="95" customFormat="false" ht="15" hidden="false" customHeight="false" outlineLevel="0" collapsed="false">
      <c r="A95" s="29" t="s">
        <v>116</v>
      </c>
      <c r="B95" s="29" t="s">
        <v>90</v>
      </c>
      <c r="C95" s="30" t="n">
        <v>55</v>
      </c>
      <c r="D95" s="29" t="s">
        <v>117</v>
      </c>
      <c r="E95" s="29" t="s">
        <v>30</v>
      </c>
      <c r="F95" s="29" t="s">
        <v>31</v>
      </c>
      <c r="G95" s="31" t="n">
        <v>0.04</v>
      </c>
      <c r="H95" s="29"/>
      <c r="I95" s="29"/>
      <c r="J95" s="29" t="s">
        <v>150</v>
      </c>
      <c r="K95" s="29" t="s">
        <v>150</v>
      </c>
      <c r="L95" s="29" t="s">
        <v>150</v>
      </c>
      <c r="M95" s="29"/>
      <c r="N95" s="29" t="s">
        <v>85</v>
      </c>
      <c r="O95" s="29" t="s">
        <v>204</v>
      </c>
    </row>
    <row r="96" customFormat="false" ht="15" hidden="false" customHeight="false" outlineLevel="0" collapsed="false">
      <c r="A96" s="29" t="s">
        <v>125</v>
      </c>
      <c r="B96" s="29" t="s">
        <v>90</v>
      </c>
      <c r="C96" s="30" t="n">
        <v>55</v>
      </c>
      <c r="D96" s="29" t="s">
        <v>30</v>
      </c>
      <c r="E96" s="29" t="s">
        <v>30</v>
      </c>
      <c r="F96" s="29" t="s">
        <v>31</v>
      </c>
      <c r="G96" s="31"/>
      <c r="H96" s="29"/>
      <c r="I96" s="29"/>
      <c r="J96" s="29" t="s">
        <v>150</v>
      </c>
      <c r="K96" s="29" t="s">
        <v>150</v>
      </c>
      <c r="L96" s="29" t="s">
        <v>150</v>
      </c>
      <c r="M96" s="29"/>
      <c r="N96" s="29" t="s">
        <v>85</v>
      </c>
      <c r="O96" s="29" t="s">
        <v>203</v>
      </c>
    </row>
    <row r="97" customFormat="false" ht="15" hidden="false" customHeight="false" outlineLevel="0" collapsed="false">
      <c r="A97" s="29" t="s">
        <v>134</v>
      </c>
      <c r="B97" s="29" t="s">
        <v>90</v>
      </c>
      <c r="C97" s="30" t="n">
        <v>55</v>
      </c>
      <c r="D97" s="29" t="s">
        <v>30</v>
      </c>
      <c r="E97" s="29" t="s">
        <v>30</v>
      </c>
      <c r="F97" s="29" t="s">
        <v>31</v>
      </c>
      <c r="G97" s="31"/>
      <c r="H97" s="29"/>
      <c r="I97" s="29"/>
      <c r="J97" s="29" t="s">
        <v>150</v>
      </c>
      <c r="K97" s="29" t="s">
        <v>150</v>
      </c>
      <c r="L97" s="29" t="s">
        <v>150</v>
      </c>
      <c r="M97" s="29"/>
      <c r="N97" s="29" t="s">
        <v>85</v>
      </c>
      <c r="O97" s="29" t="s">
        <v>203</v>
      </c>
    </row>
    <row r="98" customFormat="false" ht="15" hidden="false" customHeight="false" outlineLevel="0" collapsed="false">
      <c r="A98" s="29" t="s">
        <v>137</v>
      </c>
      <c r="B98" s="29" t="s">
        <v>90</v>
      </c>
      <c r="C98" s="30" t="n">
        <v>55</v>
      </c>
      <c r="D98" s="29" t="s">
        <v>30</v>
      </c>
      <c r="E98" s="29" t="s">
        <v>30</v>
      </c>
      <c r="F98" s="29" t="s">
        <v>31</v>
      </c>
      <c r="G98" s="31"/>
      <c r="H98" s="29"/>
      <c r="I98" s="29"/>
      <c r="J98" s="29" t="s">
        <v>150</v>
      </c>
      <c r="K98" s="29" t="s">
        <v>150</v>
      </c>
      <c r="L98" s="29" t="s">
        <v>150</v>
      </c>
      <c r="M98" s="29"/>
      <c r="N98" s="29" t="s">
        <v>85</v>
      </c>
      <c r="O98" s="29" t="s">
        <v>205</v>
      </c>
    </row>
    <row r="99" customFormat="false" ht="15" hidden="false" customHeight="false" outlineLevel="0" collapsed="false">
      <c r="A99" s="29" t="s">
        <v>138</v>
      </c>
      <c r="B99" s="29" t="s">
        <v>90</v>
      </c>
      <c r="C99" s="30" t="n">
        <v>55</v>
      </c>
      <c r="D99" s="29" t="s">
        <v>30</v>
      </c>
      <c r="E99" s="29" t="s">
        <v>30</v>
      </c>
      <c r="F99" s="29" t="s">
        <v>31</v>
      </c>
      <c r="G99" s="31"/>
      <c r="H99" s="29"/>
      <c r="I99" s="29"/>
      <c r="J99" s="29" t="s">
        <v>150</v>
      </c>
      <c r="K99" s="29" t="s">
        <v>150</v>
      </c>
      <c r="L99" s="29" t="s">
        <v>150</v>
      </c>
      <c r="M99" s="29"/>
      <c r="N99" s="29" t="s">
        <v>85</v>
      </c>
      <c r="O99" s="29" t="s">
        <v>203</v>
      </c>
    </row>
    <row r="100" customFormat="false" ht="15" hidden="false" customHeight="false" outlineLevel="0" collapsed="false">
      <c r="A100" s="29" t="s">
        <v>149</v>
      </c>
      <c r="B100" s="29" t="s">
        <v>150</v>
      </c>
      <c r="C100" s="30"/>
      <c r="D100" s="29" t="s">
        <v>150</v>
      </c>
      <c r="E100" s="29" t="s">
        <v>150</v>
      </c>
      <c r="F100" s="29" t="s">
        <v>150</v>
      </c>
      <c r="G100" s="31"/>
      <c r="H100" s="29"/>
      <c r="I100" s="29"/>
      <c r="J100" s="29" t="s">
        <v>150</v>
      </c>
      <c r="K100" s="29" t="s">
        <v>150</v>
      </c>
      <c r="L100" s="29" t="s">
        <v>150</v>
      </c>
      <c r="M100" s="29"/>
      <c r="N100" s="29" t="s">
        <v>151</v>
      </c>
      <c r="O100" s="29" t="s">
        <v>206</v>
      </c>
    </row>
    <row r="101" customFormat="false" ht="15" hidden="false" customHeight="false" outlineLevel="0" collapsed="false">
      <c r="A101" s="29" t="s">
        <v>152</v>
      </c>
      <c r="B101" s="29" t="s">
        <v>150</v>
      </c>
      <c r="C101" s="30"/>
      <c r="D101" s="29" t="s">
        <v>150</v>
      </c>
      <c r="E101" s="29" t="s">
        <v>150</v>
      </c>
      <c r="F101" s="29" t="s">
        <v>150</v>
      </c>
      <c r="G101" s="31"/>
      <c r="H101" s="29"/>
      <c r="I101" s="29"/>
      <c r="J101" s="29" t="s">
        <v>150</v>
      </c>
      <c r="K101" s="29" t="s">
        <v>150</v>
      </c>
      <c r="L101" s="29" t="s">
        <v>150</v>
      </c>
      <c r="M101" s="29"/>
      <c r="N101" s="29" t="s">
        <v>151</v>
      </c>
      <c r="O101" s="29" t="s">
        <v>206</v>
      </c>
    </row>
    <row r="102" customFormat="false" ht="15" hidden="false" customHeight="false" outlineLevel="0" collapsed="false">
      <c r="A102" s="29" t="s">
        <v>153</v>
      </c>
      <c r="B102" s="29" t="s">
        <v>150</v>
      </c>
      <c r="C102" s="30"/>
      <c r="D102" s="29" t="s">
        <v>150</v>
      </c>
      <c r="E102" s="29" t="s">
        <v>150</v>
      </c>
      <c r="F102" s="29" t="s">
        <v>150</v>
      </c>
      <c r="G102" s="31"/>
      <c r="H102" s="29"/>
      <c r="I102" s="29"/>
      <c r="J102" s="29" t="s">
        <v>150</v>
      </c>
      <c r="K102" s="29" t="s">
        <v>150</v>
      </c>
      <c r="L102" s="29" t="s">
        <v>150</v>
      </c>
      <c r="M102" s="29"/>
      <c r="N102" s="29" t="s">
        <v>151</v>
      </c>
      <c r="O102" s="29" t="s">
        <v>206</v>
      </c>
    </row>
    <row r="103" customFormat="false" ht="15" hidden="false" customHeight="false" outlineLevel="0" collapsed="false">
      <c r="A103" s="29" t="s">
        <v>154</v>
      </c>
      <c r="B103" s="29" t="s">
        <v>150</v>
      </c>
      <c r="C103" s="30"/>
      <c r="D103" s="29" t="s">
        <v>150</v>
      </c>
      <c r="E103" s="29" t="s">
        <v>150</v>
      </c>
      <c r="F103" s="29" t="s">
        <v>150</v>
      </c>
      <c r="G103" s="31"/>
      <c r="H103" s="29"/>
      <c r="I103" s="29"/>
      <c r="J103" s="29" t="s">
        <v>150</v>
      </c>
      <c r="K103" s="29" t="s">
        <v>150</v>
      </c>
      <c r="L103" s="29" t="s">
        <v>150</v>
      </c>
      <c r="M103" s="29"/>
      <c r="N103" s="29" t="s">
        <v>151</v>
      </c>
      <c r="O103" s="29" t="s">
        <v>206</v>
      </c>
    </row>
    <row r="104" customFormat="false" ht="15" hidden="false" customHeight="false" outlineLevel="0" collapsed="false">
      <c r="A104" s="29" t="s">
        <v>155</v>
      </c>
      <c r="B104" s="29" t="s">
        <v>150</v>
      </c>
      <c r="C104" s="30"/>
      <c r="D104" s="29" t="s">
        <v>150</v>
      </c>
      <c r="E104" s="29" t="s">
        <v>150</v>
      </c>
      <c r="F104" s="29" t="s">
        <v>150</v>
      </c>
      <c r="G104" s="31"/>
      <c r="H104" s="29"/>
      <c r="I104" s="29"/>
      <c r="J104" s="29" t="s">
        <v>150</v>
      </c>
      <c r="K104" s="29" t="s">
        <v>150</v>
      </c>
      <c r="L104" s="29" t="s">
        <v>150</v>
      </c>
      <c r="M104" s="29"/>
      <c r="N104" s="29" t="s">
        <v>151</v>
      </c>
      <c r="O104" s="29" t="s">
        <v>206</v>
      </c>
    </row>
    <row r="106" customFormat="false" ht="15" hidden="false" customHeight="false" outlineLevel="0" collapsed="false">
      <c r="A106" s="14" t="s">
        <v>207</v>
      </c>
    </row>
    <row r="107" customFormat="false" ht="15" hidden="false" customHeight="false" outlineLevel="0" collapsed="false">
      <c r="A107" s="16" t="s">
        <v>208</v>
      </c>
      <c r="B107" s="16" t="n">
        <f aca="false">COUNTIF(N5:N104,"أساسية")</f>
        <v>64</v>
      </c>
      <c r="C107" s="17" t="n">
        <f aca="false">SUMIF(N5:N104,"أساسية",C5:C104)</f>
        <v>47575</v>
      </c>
      <c r="D107" s="32" t="s">
        <v>209</v>
      </c>
    </row>
    <row r="108" customFormat="false" ht="15" hidden="false" customHeight="false" outlineLevel="0" collapsed="false">
      <c r="A108" s="16" t="s">
        <v>32</v>
      </c>
      <c r="B108" s="16" t="n">
        <f aca="false">COUNTIF(N5:N104,"اختبار")</f>
        <v>1</v>
      </c>
      <c r="C108" s="17" t="n">
        <f aca="false">SUMIF(N5:N104,"اختبار",C5:C104)</f>
        <v>55000</v>
      </c>
      <c r="D108" s="32" t="s">
        <v>209</v>
      </c>
    </row>
    <row r="109" customFormat="false" ht="15" hidden="false" customHeight="false" outlineLevel="0" collapsed="false">
      <c r="A109" s="16" t="s">
        <v>51</v>
      </c>
      <c r="B109" s="16" t="n">
        <f aca="false">COUNTIF(N5:N104,"ثانوية")</f>
        <v>9</v>
      </c>
      <c r="C109" s="17" t="n">
        <f aca="false">SUMIF(N5:N104,"ثانوية",C5:C104)</f>
        <v>7920</v>
      </c>
      <c r="D109" s="32" t="s">
        <v>209</v>
      </c>
    </row>
    <row r="110" customFormat="false" ht="15" hidden="false" customHeight="false" outlineLevel="0" collapsed="false">
      <c r="A110" s="16" t="s">
        <v>46</v>
      </c>
      <c r="B110" s="16" t="n">
        <f aca="false">COUNTIF(N5:N104,"مراقبة")</f>
        <v>7</v>
      </c>
      <c r="C110" s="17" t="n">
        <f aca="false">SUMIF(N5:N104,"مراقبة",C5:C104)</f>
        <v>12760</v>
      </c>
      <c r="D110" s="32" t="s">
        <v>209</v>
      </c>
    </row>
    <row r="111" customFormat="false" ht="15" hidden="false" customHeight="false" outlineLevel="0" collapsed="false">
      <c r="A111" s="16" t="s">
        <v>210</v>
      </c>
      <c r="B111" s="16" t="n">
        <f aca="false">COUNTIF(N5:N104,"مشروطة")</f>
        <v>0</v>
      </c>
      <c r="C111" s="17" t="n">
        <f aca="false">SUMIF(N5:N104,"مشروطة",C5:C104)</f>
        <v>0</v>
      </c>
      <c r="D111" s="32" t="s">
        <v>209</v>
      </c>
    </row>
    <row r="112" customFormat="false" ht="15" hidden="false" customHeight="false" outlineLevel="0" collapsed="false">
      <c r="A112" s="16" t="s">
        <v>211</v>
      </c>
      <c r="B112" s="16" t="n">
        <f aca="false">COUNTIF(N5:N104,"مستبعدة (قرار)")</f>
        <v>3</v>
      </c>
      <c r="C112" s="17" t="n">
        <f aca="false">SUMIF(N5:N104,"مستبعدة (قرار)",C5:C104)</f>
        <v>165</v>
      </c>
      <c r="D112" s="32" t="s">
        <v>209</v>
      </c>
    </row>
    <row r="113" customFormat="false" ht="15" hidden="false" customHeight="false" outlineLevel="0" collapsed="false">
      <c r="A113" s="16" t="s">
        <v>212</v>
      </c>
      <c r="B113" s="16" t="n">
        <f aca="false">COUNTIF(N5:N104,"سلبية تامة [ ]")</f>
        <v>2</v>
      </c>
      <c r="C113" s="17" t="n">
        <f aca="false">SUMIF(N5:N104,"سلبية تامة [ ]",C5:C104)</f>
        <v>110000</v>
      </c>
      <c r="D113" s="32" t="s">
        <v>209</v>
      </c>
    </row>
    <row r="114" customFormat="false" ht="15" hidden="false" customHeight="false" outlineLevel="0" collapsed="false">
      <c r="A114" s="16" t="s">
        <v>85</v>
      </c>
      <c r="B114" s="16" t="n">
        <f aca="false">COUNTIF(N5:N104,"سلبية")</f>
        <v>9</v>
      </c>
      <c r="C114" s="17" t="n">
        <f aca="false">SUMIF(N5:N104,"سلبية",C5:C104)</f>
        <v>990</v>
      </c>
      <c r="D114" s="32" t="s">
        <v>209</v>
      </c>
    </row>
    <row r="115" customFormat="false" ht="15" hidden="false" customHeight="false" outlineLevel="0" collapsed="false">
      <c r="A115" s="16" t="s">
        <v>213</v>
      </c>
      <c r="B115" s="16" t="n">
        <f aca="false">COUNTIF(N5:N104,"حذف (صفر بحث)")</f>
        <v>5</v>
      </c>
      <c r="C115" s="17" t="n">
        <f aca="false">SUMIF(N5:N104,"حذف (صفر بحث)",C5:C104)</f>
        <v>0</v>
      </c>
      <c r="D115" s="32" t="s">
        <v>209</v>
      </c>
    </row>
  </sheetData>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2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0"/>
    <col collapsed="false" customWidth="true" hidden="false" outlineLevel="0" max="6" min="4" style="0" width="14"/>
    <col collapsed="false" customWidth="true" hidden="false" outlineLevel="0" max="7" min="7" style="0" width="12"/>
    <col collapsed="false" customWidth="true" hidden="false" outlineLevel="0" max="8" min="8" style="0" width="90"/>
  </cols>
  <sheetData>
    <row r="1" customFormat="false" ht="17.15" hidden="false" customHeight="false" outlineLevel="0" collapsed="false">
      <c r="A1" s="7" t="s">
        <v>214</v>
      </c>
    </row>
    <row r="2" customFormat="false" ht="45" hidden="false" customHeight="true" outlineLevel="0" collapsed="false">
      <c r="A2" s="8" t="s">
        <v>215</v>
      </c>
      <c r="B2" s="8"/>
      <c r="C2" s="8"/>
      <c r="D2" s="8"/>
      <c r="E2" s="8"/>
      <c r="F2" s="8"/>
      <c r="G2" s="8"/>
      <c r="H2" s="8"/>
    </row>
    <row r="4" customFormat="false" ht="39.55" hidden="false" customHeight="false" outlineLevel="0" collapsed="false">
      <c r="A4" s="9" t="s">
        <v>168</v>
      </c>
      <c r="B4" s="9" t="s">
        <v>216</v>
      </c>
      <c r="C4" s="9" t="s">
        <v>158</v>
      </c>
      <c r="D4" s="9" t="s">
        <v>159</v>
      </c>
      <c r="E4" s="9" t="s">
        <v>169</v>
      </c>
      <c r="F4" s="9" t="s">
        <v>217</v>
      </c>
      <c r="G4" s="9" t="s">
        <v>218</v>
      </c>
      <c r="H4" s="9" t="s">
        <v>219</v>
      </c>
    </row>
    <row r="5" customFormat="false" ht="35.05" hidden="false" customHeight="false" outlineLevel="0" collapsed="false">
      <c r="A5" s="10" t="s">
        <v>173</v>
      </c>
      <c r="B5" s="10" t="s">
        <v>174</v>
      </c>
      <c r="C5" s="10" t="n">
        <v>16</v>
      </c>
      <c r="D5" s="11" t="n">
        <v>19690</v>
      </c>
      <c r="E5" s="10" t="s">
        <v>175</v>
      </c>
      <c r="F5" s="10" t="n">
        <v>2.5</v>
      </c>
      <c r="G5" s="10" t="s">
        <v>42</v>
      </c>
      <c r="H5" s="10" t="s">
        <v>220</v>
      </c>
    </row>
    <row r="6" customFormat="false" ht="23.85" hidden="false" customHeight="false" outlineLevel="0" collapsed="false">
      <c r="A6" s="10" t="s">
        <v>173</v>
      </c>
      <c r="B6" s="10" t="s">
        <v>179</v>
      </c>
      <c r="C6" s="10" t="n">
        <v>13</v>
      </c>
      <c r="D6" s="11" t="n">
        <v>11110</v>
      </c>
      <c r="E6" s="10" t="s">
        <v>175</v>
      </c>
      <c r="F6" s="10" t="n">
        <v>2.5</v>
      </c>
      <c r="G6" s="10" t="s">
        <v>42</v>
      </c>
      <c r="H6" s="10" t="s">
        <v>221</v>
      </c>
    </row>
    <row r="7" customFormat="false" ht="23.85" hidden="false" customHeight="false" outlineLevel="0" collapsed="false">
      <c r="A7" s="10" t="s">
        <v>173</v>
      </c>
      <c r="B7" s="10" t="s">
        <v>181</v>
      </c>
      <c r="C7" s="10" t="n">
        <v>8</v>
      </c>
      <c r="D7" s="11" t="n">
        <v>13805</v>
      </c>
      <c r="E7" s="10" t="s">
        <v>175</v>
      </c>
      <c r="F7" s="10" t="n">
        <v>2.5</v>
      </c>
      <c r="G7" s="10" t="s">
        <v>42</v>
      </c>
      <c r="H7" s="10" t="s">
        <v>222</v>
      </c>
    </row>
    <row r="8" customFormat="false" ht="23.85" hidden="false" customHeight="false" outlineLevel="0" collapsed="false">
      <c r="A8" s="10" t="s">
        <v>173</v>
      </c>
      <c r="B8" s="10" t="s">
        <v>183</v>
      </c>
      <c r="C8" s="10" t="n">
        <v>15</v>
      </c>
      <c r="D8" s="11" t="n">
        <v>1100</v>
      </c>
      <c r="E8" s="10" t="s">
        <v>175</v>
      </c>
      <c r="F8" s="10" t="n">
        <v>2</v>
      </c>
      <c r="G8" s="10" t="s">
        <v>42</v>
      </c>
      <c r="H8" s="10" t="s">
        <v>223</v>
      </c>
    </row>
    <row r="9" customFormat="false" ht="35.05" hidden="false" customHeight="false" outlineLevel="0" collapsed="false">
      <c r="A9" s="10" t="s">
        <v>173</v>
      </c>
      <c r="B9" s="10" t="s">
        <v>185</v>
      </c>
      <c r="C9" s="10" t="n">
        <v>18</v>
      </c>
      <c r="D9" s="11" t="n">
        <v>1485</v>
      </c>
      <c r="E9" s="10" t="s">
        <v>177</v>
      </c>
      <c r="F9" s="10" t="n">
        <v>2</v>
      </c>
      <c r="G9" s="10" t="s">
        <v>42</v>
      </c>
      <c r="H9" s="10" t="s">
        <v>224</v>
      </c>
    </row>
    <row r="10" customFormat="false" ht="15" hidden="false" customHeight="false" outlineLevel="0" collapsed="false">
      <c r="A10" s="10" t="s">
        <v>173</v>
      </c>
      <c r="B10" s="10" t="s">
        <v>187</v>
      </c>
      <c r="C10" s="10" t="n">
        <v>4</v>
      </c>
      <c r="D10" s="11" t="n">
        <v>220</v>
      </c>
      <c r="E10" s="10" t="s">
        <v>188</v>
      </c>
      <c r="F10" s="10" t="n">
        <v>0.8</v>
      </c>
      <c r="G10" s="10" t="s">
        <v>42</v>
      </c>
      <c r="H10" s="10" t="s">
        <v>225</v>
      </c>
    </row>
    <row r="11" customFormat="false" ht="15" hidden="false" customHeight="false" outlineLevel="0" collapsed="false">
      <c r="A11" s="10" t="s">
        <v>173</v>
      </c>
      <c r="B11" s="10" t="s">
        <v>190</v>
      </c>
      <c r="C11" s="10" t="n">
        <v>5</v>
      </c>
      <c r="D11" s="11" t="n">
        <v>165</v>
      </c>
      <c r="E11" s="10" t="s">
        <v>175</v>
      </c>
      <c r="F11" s="10" t="n">
        <v>2</v>
      </c>
      <c r="G11" s="10" t="s">
        <v>42</v>
      </c>
      <c r="H11" s="10" t="s">
        <v>226</v>
      </c>
    </row>
    <row r="12" customFormat="false" ht="15" hidden="false" customHeight="false" outlineLevel="0" collapsed="false">
      <c r="A12" s="10" t="s">
        <v>192</v>
      </c>
      <c r="B12" s="10" t="s">
        <v>193</v>
      </c>
      <c r="C12" s="10" t="n">
        <v>1</v>
      </c>
      <c r="D12" s="11" t="n">
        <v>55000</v>
      </c>
      <c r="E12" s="10" t="s">
        <v>188</v>
      </c>
      <c r="F12" s="10" t="n">
        <v>1.2</v>
      </c>
      <c r="G12" s="10" t="s">
        <v>32</v>
      </c>
      <c r="H12" s="10" t="s">
        <v>27</v>
      </c>
    </row>
    <row r="13" customFormat="false" ht="23.85" hidden="false" customHeight="false" outlineLevel="0" collapsed="false">
      <c r="A13" s="10" t="s">
        <v>192</v>
      </c>
      <c r="B13" s="10" t="s">
        <v>195</v>
      </c>
      <c r="C13" s="10" t="n">
        <v>9</v>
      </c>
      <c r="D13" s="11" t="n">
        <v>7920</v>
      </c>
      <c r="E13" s="10" t="s">
        <v>177</v>
      </c>
      <c r="F13" s="10" t="n">
        <v>1.2</v>
      </c>
      <c r="G13" s="10" t="s">
        <v>51</v>
      </c>
      <c r="H13" s="10" t="s">
        <v>227</v>
      </c>
    </row>
    <row r="14" customFormat="false" ht="15" hidden="false" customHeight="false" outlineLevel="0" collapsed="false">
      <c r="A14" s="26" t="s">
        <v>192</v>
      </c>
      <c r="B14" s="26" t="s">
        <v>197</v>
      </c>
      <c r="C14" s="26" t="n">
        <v>4</v>
      </c>
      <c r="D14" s="27" t="n">
        <v>11605</v>
      </c>
      <c r="E14" s="26" t="s">
        <v>177</v>
      </c>
      <c r="F14" s="26" t="n">
        <v>0.8</v>
      </c>
      <c r="G14" s="26" t="s">
        <v>46</v>
      </c>
      <c r="H14" s="26" t="s">
        <v>228</v>
      </c>
    </row>
    <row r="15" customFormat="false" ht="15" hidden="false" customHeight="false" outlineLevel="0" collapsed="false">
      <c r="A15" s="26" t="s">
        <v>192</v>
      </c>
      <c r="B15" s="26" t="s">
        <v>199</v>
      </c>
      <c r="C15" s="26" t="n">
        <v>3</v>
      </c>
      <c r="D15" s="27" t="n">
        <v>1155</v>
      </c>
      <c r="E15" s="26" t="s">
        <v>177</v>
      </c>
      <c r="F15" s="26" t="n">
        <v>1</v>
      </c>
      <c r="G15" s="26" t="s">
        <v>46</v>
      </c>
      <c r="H15" s="26" t="s">
        <v>229</v>
      </c>
    </row>
    <row r="17" customFormat="false" ht="15" hidden="false" customHeight="false" outlineLevel="0" collapsed="false">
      <c r="A17" s="16" t="s">
        <v>230</v>
      </c>
      <c r="D17" s="33" t="n">
        <f aca="false">SUMIF(A5:A15,"حملة 1 – أساسية",D5:D15)</f>
        <v>47575</v>
      </c>
    </row>
    <row r="18" customFormat="false" ht="15" hidden="false" customHeight="false" outlineLevel="0" collapsed="false">
      <c r="A18" s="16" t="s">
        <v>231</v>
      </c>
      <c r="D18" s="33" t="n">
        <f aca="false">SUMIF(A5:A15,"حملة 2 – استكشاف",D5:D15)</f>
        <v>75680</v>
      </c>
    </row>
    <row r="20" customFormat="false" ht="15" hidden="false" customHeight="false" outlineLevel="0" collapsed="false">
      <c r="A20" s="15" t="s">
        <v>232</v>
      </c>
      <c r="B20" s="15" t="s">
        <v>233</v>
      </c>
      <c r="C20" s="15" t="s">
        <v>234</v>
      </c>
    </row>
    <row r="21" customFormat="false" ht="15" hidden="false" customHeight="true" outlineLevel="0" collapsed="false">
      <c r="A21" s="10" t="s">
        <v>235</v>
      </c>
      <c r="B21" s="10" t="s">
        <v>236</v>
      </c>
      <c r="C21" s="10" t="s">
        <v>237</v>
      </c>
      <c r="D21" s="10"/>
      <c r="E21" s="10"/>
      <c r="F21" s="10"/>
      <c r="G21" s="10"/>
      <c r="H21" s="10"/>
    </row>
    <row r="22" customFormat="false" ht="23.85" hidden="false" customHeight="true" outlineLevel="0" collapsed="false">
      <c r="A22" s="10" t="s">
        <v>238</v>
      </c>
      <c r="B22" s="10" t="s">
        <v>239</v>
      </c>
      <c r="C22" s="10" t="s">
        <v>240</v>
      </c>
      <c r="D22" s="10"/>
      <c r="E22" s="10"/>
      <c r="F22" s="10"/>
      <c r="G22" s="10"/>
      <c r="H22" s="10"/>
    </row>
    <row r="23" customFormat="false" ht="23.85" hidden="false" customHeight="false" outlineLevel="0" collapsed="false">
      <c r="A23" s="10" t="s">
        <v>241</v>
      </c>
      <c r="B23" s="10" t="s">
        <v>242</v>
      </c>
      <c r="C23" s="10"/>
      <c r="D23" s="10"/>
      <c r="E23" s="10"/>
      <c r="F23" s="10"/>
      <c r="G23" s="10"/>
      <c r="H23" s="10"/>
    </row>
    <row r="24" customFormat="false" ht="15" hidden="false" customHeight="true" outlineLevel="0" collapsed="false">
      <c r="A24" s="10" t="s">
        <v>243</v>
      </c>
      <c r="B24" s="10" t="s">
        <v>244</v>
      </c>
      <c r="C24" s="10" t="s">
        <v>245</v>
      </c>
      <c r="D24" s="10"/>
      <c r="E24" s="10"/>
      <c r="F24" s="10"/>
      <c r="G24" s="10"/>
      <c r="H24" s="10"/>
    </row>
    <row r="25" customFormat="false" ht="23.85" hidden="false" customHeight="true" outlineLevel="0" collapsed="false">
      <c r="A25" s="10" t="s">
        <v>246</v>
      </c>
      <c r="B25" s="10" t="s">
        <v>247</v>
      </c>
      <c r="C25" s="10" t="s">
        <v>248</v>
      </c>
      <c r="D25" s="10"/>
      <c r="E25" s="10"/>
      <c r="F25" s="10"/>
      <c r="G25" s="10"/>
      <c r="H25" s="10"/>
    </row>
    <row r="26" customFormat="false" ht="15" hidden="false" customHeight="true" outlineLevel="0" collapsed="false">
      <c r="A26" s="10" t="s">
        <v>249</v>
      </c>
      <c r="B26" s="10" t="s">
        <v>250</v>
      </c>
      <c r="C26" s="10" t="s">
        <v>251</v>
      </c>
      <c r="D26" s="10"/>
      <c r="E26" s="10"/>
      <c r="F26" s="10"/>
      <c r="G26" s="10"/>
      <c r="H26" s="10"/>
    </row>
    <row r="27" customFormat="false" ht="23.85" hidden="false" customHeight="true" outlineLevel="0" collapsed="false">
      <c r="A27" s="10" t="s">
        <v>252</v>
      </c>
      <c r="B27" s="10" t="s">
        <v>253</v>
      </c>
      <c r="C27" s="10" t="s">
        <v>254</v>
      </c>
      <c r="D27" s="10"/>
      <c r="E27" s="10"/>
      <c r="F27" s="10"/>
      <c r="G27" s="10"/>
      <c r="H27" s="10"/>
    </row>
    <row r="28" customFormat="false" ht="35.05" hidden="false" customHeight="true" outlineLevel="0" collapsed="false">
      <c r="A28" s="10" t="s">
        <v>255</v>
      </c>
      <c r="B28" s="10" t="s">
        <v>256</v>
      </c>
      <c r="C28" s="10" t="s">
        <v>257</v>
      </c>
      <c r="D28" s="10"/>
      <c r="E28" s="10"/>
      <c r="F28" s="10"/>
      <c r="G28" s="10"/>
      <c r="H28" s="10"/>
    </row>
  </sheetData>
  <mergeCells count="9">
    <mergeCell ref="A2:H2"/>
    <mergeCell ref="C21:H21"/>
    <mergeCell ref="C22:H22"/>
    <mergeCell ref="C23:H23"/>
    <mergeCell ref="C24:H24"/>
    <mergeCell ref="C25:H25"/>
    <mergeCell ref="C26:H26"/>
    <mergeCell ref="C27:H27"/>
    <mergeCell ref="C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1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14"/>
    <col collapsed="false" customWidth="true" hidden="false" outlineLevel="0" max="5" min="5" style="0" width="10"/>
    <col collapsed="false" customWidth="true" hidden="false" outlineLevel="0" max="7" min="6" style="0" width="12"/>
  </cols>
  <sheetData>
    <row r="1" customFormat="false" ht="17.35" hidden="false" customHeight="false" outlineLevel="0" collapsed="false">
      <c r="A1" s="7" t="s">
        <v>258</v>
      </c>
    </row>
    <row r="2" customFormat="false" ht="45" hidden="false" customHeight="true" outlineLevel="0" collapsed="false">
      <c r="A2" s="8" t="s">
        <v>259</v>
      </c>
      <c r="B2" s="8"/>
      <c r="C2" s="8"/>
      <c r="D2" s="8"/>
      <c r="E2" s="8"/>
      <c r="F2" s="8"/>
      <c r="G2" s="8"/>
    </row>
    <row r="4" customFormat="false" ht="26.85" hidden="false" customHeight="false" outlineLevel="0" collapsed="false">
      <c r="A4" s="9" t="s">
        <v>168</v>
      </c>
      <c r="B4" s="9" t="s">
        <v>157</v>
      </c>
      <c r="C4" s="9" t="s">
        <v>16</v>
      </c>
      <c r="D4" s="9" t="s">
        <v>169</v>
      </c>
      <c r="E4" s="9" t="s">
        <v>260</v>
      </c>
      <c r="F4" s="9" t="s">
        <v>18</v>
      </c>
      <c r="G4" s="9" t="s">
        <v>218</v>
      </c>
    </row>
    <row r="5" customFormat="false" ht="15" hidden="false" customHeight="false" outlineLevel="0" collapsed="false">
      <c r="A5" s="10" t="s">
        <v>173</v>
      </c>
      <c r="B5" s="10" t="s">
        <v>174</v>
      </c>
      <c r="C5" s="10" t="s">
        <v>43</v>
      </c>
      <c r="D5" s="10" t="s">
        <v>175</v>
      </c>
      <c r="E5" s="10" t="n">
        <v>2.5</v>
      </c>
      <c r="F5" s="10" t="s">
        <v>40</v>
      </c>
      <c r="G5" s="10" t="s">
        <v>42</v>
      </c>
    </row>
    <row r="6" customFormat="false" ht="15" hidden="false" customHeight="false" outlineLevel="0" collapsed="false">
      <c r="A6" s="10" t="s">
        <v>173</v>
      </c>
      <c r="B6" s="10" t="s">
        <v>174</v>
      </c>
      <c r="C6" s="10" t="s">
        <v>49</v>
      </c>
      <c r="D6" s="10" t="s">
        <v>175</v>
      </c>
      <c r="E6" s="10" t="n">
        <v>2.5</v>
      </c>
      <c r="F6" s="10" t="s">
        <v>40</v>
      </c>
      <c r="G6" s="10" t="s">
        <v>42</v>
      </c>
    </row>
    <row r="7" customFormat="false" ht="15" hidden="false" customHeight="false" outlineLevel="0" collapsed="false">
      <c r="A7" s="10" t="s">
        <v>173</v>
      </c>
      <c r="B7" s="10" t="s">
        <v>174</v>
      </c>
      <c r="C7" s="10" t="s">
        <v>52</v>
      </c>
      <c r="D7" s="10" t="s">
        <v>175</v>
      </c>
      <c r="E7" s="10" t="n">
        <v>2.5</v>
      </c>
      <c r="F7" s="10" t="s">
        <v>40</v>
      </c>
      <c r="G7" s="10" t="s">
        <v>42</v>
      </c>
    </row>
    <row r="8" customFormat="false" ht="15" hidden="false" customHeight="false" outlineLevel="0" collapsed="false">
      <c r="A8" s="10" t="s">
        <v>173</v>
      </c>
      <c r="B8" s="10" t="s">
        <v>174</v>
      </c>
      <c r="C8" s="10" t="s">
        <v>61</v>
      </c>
      <c r="D8" s="10" t="s">
        <v>175</v>
      </c>
      <c r="E8" s="10" t="n">
        <v>2.5</v>
      </c>
      <c r="F8" s="10" t="s">
        <v>56</v>
      </c>
      <c r="G8" s="10" t="s">
        <v>42</v>
      </c>
    </row>
    <row r="9" customFormat="false" ht="15" hidden="false" customHeight="false" outlineLevel="0" collapsed="false">
      <c r="A9" s="10" t="s">
        <v>173</v>
      </c>
      <c r="B9" s="10" t="s">
        <v>174</v>
      </c>
      <c r="C9" s="10" t="s">
        <v>110</v>
      </c>
      <c r="D9" s="10" t="s">
        <v>175</v>
      </c>
      <c r="E9" s="10" t="n">
        <v>2.5</v>
      </c>
      <c r="F9" s="10" t="s">
        <v>90</v>
      </c>
      <c r="G9" s="10" t="s">
        <v>42</v>
      </c>
    </row>
    <row r="10" customFormat="false" ht="15" hidden="false" customHeight="false" outlineLevel="0" collapsed="false">
      <c r="A10" s="10" t="s">
        <v>173</v>
      </c>
      <c r="B10" s="10" t="s">
        <v>174</v>
      </c>
      <c r="C10" s="10" t="s">
        <v>89</v>
      </c>
      <c r="D10" s="10" t="s">
        <v>175</v>
      </c>
      <c r="E10" s="10" t="n">
        <v>2.5</v>
      </c>
      <c r="F10" s="10" t="s">
        <v>90</v>
      </c>
      <c r="G10" s="10" t="s">
        <v>42</v>
      </c>
    </row>
    <row r="11" customFormat="false" ht="15" hidden="false" customHeight="false" outlineLevel="0" collapsed="false">
      <c r="A11" s="10" t="s">
        <v>173</v>
      </c>
      <c r="B11" s="10" t="s">
        <v>174</v>
      </c>
      <c r="C11" s="10" t="s">
        <v>111</v>
      </c>
      <c r="D11" s="10" t="s">
        <v>175</v>
      </c>
      <c r="E11" s="10" t="n">
        <v>2.5</v>
      </c>
      <c r="F11" s="10" t="s">
        <v>90</v>
      </c>
      <c r="G11" s="10" t="s">
        <v>42</v>
      </c>
    </row>
    <row r="12" customFormat="false" ht="15" hidden="false" customHeight="false" outlineLevel="0" collapsed="false">
      <c r="A12" s="10" t="s">
        <v>173</v>
      </c>
      <c r="B12" s="10" t="s">
        <v>174</v>
      </c>
      <c r="C12" s="10" t="s">
        <v>112</v>
      </c>
      <c r="D12" s="10" t="s">
        <v>175</v>
      </c>
      <c r="E12" s="10" t="n">
        <v>2.5</v>
      </c>
      <c r="F12" s="10" t="s">
        <v>90</v>
      </c>
      <c r="G12" s="10" t="s">
        <v>42</v>
      </c>
    </row>
    <row r="13" customFormat="false" ht="15" hidden="false" customHeight="false" outlineLevel="0" collapsed="false">
      <c r="A13" s="10" t="s">
        <v>173</v>
      </c>
      <c r="B13" s="10" t="s">
        <v>174</v>
      </c>
      <c r="C13" s="10" t="s">
        <v>73</v>
      </c>
      <c r="D13" s="10" t="s">
        <v>175</v>
      </c>
      <c r="E13" s="10" t="n">
        <v>2.5</v>
      </c>
      <c r="F13" s="10" t="s">
        <v>56</v>
      </c>
      <c r="G13" s="10" t="s">
        <v>42</v>
      </c>
    </row>
    <row r="14" customFormat="false" ht="15" hidden="false" customHeight="false" outlineLevel="0" collapsed="false">
      <c r="A14" s="10" t="s">
        <v>173</v>
      </c>
      <c r="B14" s="10" t="s">
        <v>174</v>
      </c>
      <c r="C14" s="10" t="s">
        <v>68</v>
      </c>
      <c r="D14" s="10" t="s">
        <v>175</v>
      </c>
      <c r="E14" s="10" t="n">
        <v>2.5</v>
      </c>
      <c r="F14" s="10" t="s">
        <v>56</v>
      </c>
      <c r="G14" s="10" t="s">
        <v>42</v>
      </c>
    </row>
    <row r="15" customFormat="false" ht="15" hidden="false" customHeight="false" outlineLevel="0" collapsed="false">
      <c r="A15" s="10" t="s">
        <v>173</v>
      </c>
      <c r="B15" s="10" t="s">
        <v>174</v>
      </c>
      <c r="C15" s="10" t="s">
        <v>78</v>
      </c>
      <c r="D15" s="10" t="s">
        <v>175</v>
      </c>
      <c r="E15" s="10" t="n">
        <v>2.5</v>
      </c>
      <c r="F15" s="10" t="s">
        <v>56</v>
      </c>
      <c r="G15" s="10" t="s">
        <v>42</v>
      </c>
    </row>
    <row r="16" customFormat="false" ht="15" hidden="false" customHeight="false" outlineLevel="0" collapsed="false">
      <c r="A16" s="10" t="s">
        <v>173</v>
      </c>
      <c r="B16" s="10" t="s">
        <v>174</v>
      </c>
      <c r="C16" s="10" t="s">
        <v>120</v>
      </c>
      <c r="D16" s="10" t="s">
        <v>175</v>
      </c>
      <c r="E16" s="10" t="n">
        <v>2.5</v>
      </c>
      <c r="F16" s="10" t="s">
        <v>90</v>
      </c>
      <c r="G16" s="10" t="s">
        <v>42</v>
      </c>
    </row>
    <row r="17" customFormat="false" ht="15" hidden="false" customHeight="false" outlineLevel="0" collapsed="false">
      <c r="A17" s="10" t="s">
        <v>173</v>
      </c>
      <c r="B17" s="10" t="s">
        <v>174</v>
      </c>
      <c r="C17" s="10" t="s">
        <v>104</v>
      </c>
      <c r="D17" s="10" t="s">
        <v>175</v>
      </c>
      <c r="E17" s="10" t="n">
        <v>2.5</v>
      </c>
      <c r="F17" s="10" t="s">
        <v>90</v>
      </c>
      <c r="G17" s="10" t="s">
        <v>42</v>
      </c>
    </row>
    <row r="18" customFormat="false" ht="15" hidden="false" customHeight="false" outlineLevel="0" collapsed="false">
      <c r="A18" s="10" t="s">
        <v>173</v>
      </c>
      <c r="B18" s="10" t="s">
        <v>174</v>
      </c>
      <c r="C18" s="10" t="s">
        <v>80</v>
      </c>
      <c r="D18" s="10" t="s">
        <v>175</v>
      </c>
      <c r="E18" s="10" t="n">
        <v>2.5</v>
      </c>
      <c r="F18" s="10" t="s">
        <v>56</v>
      </c>
      <c r="G18" s="10" t="s">
        <v>42</v>
      </c>
    </row>
    <row r="19" customFormat="false" ht="15" hidden="false" customHeight="false" outlineLevel="0" collapsed="false">
      <c r="A19" s="10" t="s">
        <v>173</v>
      </c>
      <c r="B19" s="10" t="s">
        <v>174</v>
      </c>
      <c r="C19" s="10" t="s">
        <v>97</v>
      </c>
      <c r="D19" s="10" t="s">
        <v>175</v>
      </c>
      <c r="E19" s="10" t="n">
        <v>2.5</v>
      </c>
      <c r="F19" s="10" t="s">
        <v>90</v>
      </c>
      <c r="G19" s="10" t="s">
        <v>42</v>
      </c>
    </row>
    <row r="20" customFormat="false" ht="15" hidden="false" customHeight="false" outlineLevel="0" collapsed="false">
      <c r="A20" s="10" t="s">
        <v>173</v>
      </c>
      <c r="B20" s="10" t="s">
        <v>174</v>
      </c>
      <c r="C20" s="10" t="s">
        <v>113</v>
      </c>
      <c r="D20" s="10" t="s">
        <v>175</v>
      </c>
      <c r="E20" s="10" t="n">
        <v>2.5</v>
      </c>
      <c r="F20" s="10" t="s">
        <v>90</v>
      </c>
      <c r="G20" s="10" t="s">
        <v>42</v>
      </c>
    </row>
    <row r="21" customFormat="false" ht="15" hidden="false" customHeight="false" outlineLevel="0" collapsed="false">
      <c r="A21" s="10" t="s">
        <v>173</v>
      </c>
      <c r="B21" s="10" t="s">
        <v>179</v>
      </c>
      <c r="C21" s="10" t="s">
        <v>47</v>
      </c>
      <c r="D21" s="10" t="s">
        <v>175</v>
      </c>
      <c r="E21" s="10" t="n">
        <v>2.5</v>
      </c>
      <c r="F21" s="10" t="s">
        <v>40</v>
      </c>
      <c r="G21" s="10" t="s">
        <v>42</v>
      </c>
    </row>
    <row r="22" customFormat="false" ht="15" hidden="false" customHeight="false" outlineLevel="0" collapsed="false">
      <c r="A22" s="10" t="s">
        <v>173</v>
      </c>
      <c r="B22" s="10" t="s">
        <v>179</v>
      </c>
      <c r="C22" s="10" t="s">
        <v>75</v>
      </c>
      <c r="D22" s="10" t="s">
        <v>175</v>
      </c>
      <c r="E22" s="10" t="n">
        <v>2.5</v>
      </c>
      <c r="F22" s="10" t="s">
        <v>56</v>
      </c>
      <c r="G22" s="10" t="s">
        <v>42</v>
      </c>
    </row>
    <row r="23" customFormat="false" ht="15" hidden="false" customHeight="false" outlineLevel="0" collapsed="false">
      <c r="A23" s="10" t="s">
        <v>173</v>
      </c>
      <c r="B23" s="10" t="s">
        <v>179</v>
      </c>
      <c r="C23" s="10" t="s">
        <v>67</v>
      </c>
      <c r="D23" s="10" t="s">
        <v>175</v>
      </c>
      <c r="E23" s="10" t="n">
        <v>2.5</v>
      </c>
      <c r="F23" s="10" t="s">
        <v>56</v>
      </c>
      <c r="G23" s="10" t="s">
        <v>42</v>
      </c>
    </row>
    <row r="24" customFormat="false" ht="15" hidden="false" customHeight="false" outlineLevel="0" collapsed="false">
      <c r="A24" s="10" t="s">
        <v>173</v>
      </c>
      <c r="B24" s="10" t="s">
        <v>179</v>
      </c>
      <c r="C24" s="10" t="s">
        <v>69</v>
      </c>
      <c r="D24" s="10" t="s">
        <v>175</v>
      </c>
      <c r="E24" s="10" t="n">
        <v>2.5</v>
      </c>
      <c r="F24" s="10" t="s">
        <v>56</v>
      </c>
      <c r="G24" s="10" t="s">
        <v>42</v>
      </c>
    </row>
    <row r="25" customFormat="false" ht="15" hidden="false" customHeight="false" outlineLevel="0" collapsed="false">
      <c r="A25" s="10" t="s">
        <v>173</v>
      </c>
      <c r="B25" s="10" t="s">
        <v>179</v>
      </c>
      <c r="C25" s="10" t="s">
        <v>79</v>
      </c>
      <c r="D25" s="10" t="s">
        <v>175</v>
      </c>
      <c r="E25" s="10" t="n">
        <v>2.5</v>
      </c>
      <c r="F25" s="10" t="s">
        <v>56</v>
      </c>
      <c r="G25" s="10" t="s">
        <v>42</v>
      </c>
    </row>
    <row r="26" customFormat="false" ht="15" hidden="false" customHeight="false" outlineLevel="0" collapsed="false">
      <c r="A26" s="10" t="s">
        <v>173</v>
      </c>
      <c r="B26" s="10" t="s">
        <v>179</v>
      </c>
      <c r="C26" s="10" t="s">
        <v>71</v>
      </c>
      <c r="D26" s="10" t="s">
        <v>175</v>
      </c>
      <c r="E26" s="10" t="n">
        <v>2.5</v>
      </c>
      <c r="F26" s="10" t="s">
        <v>56</v>
      </c>
      <c r="G26" s="10" t="s">
        <v>42</v>
      </c>
    </row>
    <row r="27" customFormat="false" ht="15" hidden="false" customHeight="false" outlineLevel="0" collapsed="false">
      <c r="A27" s="10" t="s">
        <v>173</v>
      </c>
      <c r="B27" s="10" t="s">
        <v>179</v>
      </c>
      <c r="C27" s="10" t="s">
        <v>72</v>
      </c>
      <c r="D27" s="10" t="s">
        <v>175</v>
      </c>
      <c r="E27" s="10" t="n">
        <v>2.5</v>
      </c>
      <c r="F27" s="10" t="s">
        <v>56</v>
      </c>
      <c r="G27" s="10" t="s">
        <v>42</v>
      </c>
    </row>
    <row r="28" customFormat="false" ht="15" hidden="false" customHeight="false" outlineLevel="0" collapsed="false">
      <c r="A28" s="10" t="s">
        <v>173</v>
      </c>
      <c r="B28" s="10" t="s">
        <v>179</v>
      </c>
      <c r="C28" s="10" t="s">
        <v>119</v>
      </c>
      <c r="D28" s="10" t="s">
        <v>175</v>
      </c>
      <c r="E28" s="10" t="n">
        <v>2.5</v>
      </c>
      <c r="F28" s="10" t="s">
        <v>90</v>
      </c>
      <c r="G28" s="10" t="s">
        <v>42</v>
      </c>
    </row>
    <row r="29" customFormat="false" ht="15" hidden="false" customHeight="false" outlineLevel="0" collapsed="false">
      <c r="A29" s="10" t="s">
        <v>173</v>
      </c>
      <c r="B29" s="10" t="s">
        <v>179</v>
      </c>
      <c r="C29" s="10" t="s">
        <v>82</v>
      </c>
      <c r="D29" s="10" t="s">
        <v>175</v>
      </c>
      <c r="E29" s="10" t="n">
        <v>2.5</v>
      </c>
      <c r="F29" s="10" t="s">
        <v>56</v>
      </c>
      <c r="G29" s="10" t="s">
        <v>42</v>
      </c>
    </row>
    <row r="30" customFormat="false" ht="15" hidden="false" customHeight="false" outlineLevel="0" collapsed="false">
      <c r="A30" s="10" t="s">
        <v>173</v>
      </c>
      <c r="B30" s="10" t="s">
        <v>179</v>
      </c>
      <c r="C30" s="10" t="s">
        <v>74</v>
      </c>
      <c r="D30" s="10" t="s">
        <v>175</v>
      </c>
      <c r="E30" s="10" t="n">
        <v>2.5</v>
      </c>
      <c r="F30" s="10" t="s">
        <v>56</v>
      </c>
      <c r="G30" s="10" t="s">
        <v>42</v>
      </c>
    </row>
    <row r="31" customFormat="false" ht="15" hidden="false" customHeight="false" outlineLevel="0" collapsed="false">
      <c r="A31" s="10" t="s">
        <v>173</v>
      </c>
      <c r="B31" s="10" t="s">
        <v>179</v>
      </c>
      <c r="C31" s="10" t="s">
        <v>86</v>
      </c>
      <c r="D31" s="10" t="s">
        <v>175</v>
      </c>
      <c r="E31" s="10" t="n">
        <v>2.5</v>
      </c>
      <c r="F31" s="10" t="s">
        <v>56</v>
      </c>
      <c r="G31" s="10" t="s">
        <v>42</v>
      </c>
    </row>
    <row r="32" customFormat="false" ht="15" hidden="false" customHeight="false" outlineLevel="0" collapsed="false">
      <c r="A32" s="10" t="s">
        <v>173</v>
      </c>
      <c r="B32" s="10" t="s">
        <v>179</v>
      </c>
      <c r="C32" s="10" t="s">
        <v>114</v>
      </c>
      <c r="D32" s="10" t="s">
        <v>175</v>
      </c>
      <c r="E32" s="10" t="n">
        <v>2.5</v>
      </c>
      <c r="F32" s="10" t="s">
        <v>90</v>
      </c>
      <c r="G32" s="10" t="s">
        <v>42</v>
      </c>
    </row>
    <row r="33" customFormat="false" ht="15" hidden="false" customHeight="false" outlineLevel="0" collapsed="false">
      <c r="A33" s="10" t="s">
        <v>173</v>
      </c>
      <c r="B33" s="10" t="s">
        <v>179</v>
      </c>
      <c r="C33" s="10" t="s">
        <v>83</v>
      </c>
      <c r="D33" s="10" t="s">
        <v>175</v>
      </c>
      <c r="E33" s="10" t="n">
        <v>2.5</v>
      </c>
      <c r="F33" s="10" t="s">
        <v>56</v>
      </c>
      <c r="G33" s="10" t="s">
        <v>42</v>
      </c>
    </row>
    <row r="34" customFormat="false" ht="15" hidden="false" customHeight="false" outlineLevel="0" collapsed="false">
      <c r="A34" s="10" t="s">
        <v>173</v>
      </c>
      <c r="B34" s="10" t="s">
        <v>181</v>
      </c>
      <c r="C34" s="10" t="s">
        <v>38</v>
      </c>
      <c r="D34" s="10" t="s">
        <v>175</v>
      </c>
      <c r="E34" s="10" t="n">
        <v>2.5</v>
      </c>
      <c r="F34" s="10" t="s">
        <v>40</v>
      </c>
      <c r="G34" s="10" t="s">
        <v>42</v>
      </c>
    </row>
    <row r="35" customFormat="false" ht="15" hidden="false" customHeight="false" outlineLevel="0" collapsed="false">
      <c r="A35" s="10" t="s">
        <v>173</v>
      </c>
      <c r="B35" s="10" t="s">
        <v>181</v>
      </c>
      <c r="C35" s="10" t="s">
        <v>44</v>
      </c>
      <c r="D35" s="10" t="s">
        <v>175</v>
      </c>
      <c r="E35" s="10" t="n">
        <v>2.5</v>
      </c>
      <c r="F35" s="10" t="s">
        <v>40</v>
      </c>
      <c r="G35" s="10" t="s">
        <v>42</v>
      </c>
    </row>
    <row r="36" customFormat="false" ht="15" hidden="false" customHeight="false" outlineLevel="0" collapsed="false">
      <c r="A36" s="10" t="s">
        <v>173</v>
      </c>
      <c r="B36" s="10" t="s">
        <v>181</v>
      </c>
      <c r="C36" s="10" t="s">
        <v>58</v>
      </c>
      <c r="D36" s="10" t="s">
        <v>175</v>
      </c>
      <c r="E36" s="10" t="n">
        <v>2.5</v>
      </c>
      <c r="F36" s="10" t="s">
        <v>56</v>
      </c>
      <c r="G36" s="10" t="s">
        <v>42</v>
      </c>
    </row>
    <row r="37" customFormat="false" ht="15" hidden="false" customHeight="false" outlineLevel="0" collapsed="false">
      <c r="A37" s="10" t="s">
        <v>173</v>
      </c>
      <c r="B37" s="10" t="s">
        <v>181</v>
      </c>
      <c r="C37" s="10" t="s">
        <v>60</v>
      </c>
      <c r="D37" s="10" t="s">
        <v>175</v>
      </c>
      <c r="E37" s="10" t="n">
        <v>2.5</v>
      </c>
      <c r="F37" s="10" t="s">
        <v>56</v>
      </c>
      <c r="G37" s="10" t="s">
        <v>42</v>
      </c>
    </row>
    <row r="38" customFormat="false" ht="15" hidden="false" customHeight="false" outlineLevel="0" collapsed="false">
      <c r="A38" s="10" t="s">
        <v>173</v>
      </c>
      <c r="B38" s="10" t="s">
        <v>181</v>
      </c>
      <c r="C38" s="10" t="s">
        <v>66</v>
      </c>
      <c r="D38" s="10" t="s">
        <v>175</v>
      </c>
      <c r="E38" s="10" t="n">
        <v>2.5</v>
      </c>
      <c r="F38" s="10" t="s">
        <v>56</v>
      </c>
      <c r="G38" s="10" t="s">
        <v>42</v>
      </c>
    </row>
    <row r="39" customFormat="false" ht="15" hidden="false" customHeight="false" outlineLevel="0" collapsed="false">
      <c r="A39" s="10" t="s">
        <v>173</v>
      </c>
      <c r="B39" s="10" t="s">
        <v>181</v>
      </c>
      <c r="C39" s="10" t="s">
        <v>70</v>
      </c>
      <c r="D39" s="10" t="s">
        <v>175</v>
      </c>
      <c r="E39" s="10" t="n">
        <v>2.5</v>
      </c>
      <c r="F39" s="10" t="s">
        <v>56</v>
      </c>
      <c r="G39" s="10" t="s">
        <v>42</v>
      </c>
    </row>
    <row r="40" customFormat="false" ht="15" hidden="false" customHeight="false" outlineLevel="0" collapsed="false">
      <c r="A40" s="10" t="s">
        <v>173</v>
      </c>
      <c r="B40" s="10" t="s">
        <v>181</v>
      </c>
      <c r="C40" s="10" t="s">
        <v>62</v>
      </c>
      <c r="D40" s="10" t="s">
        <v>175</v>
      </c>
      <c r="E40" s="10" t="n">
        <v>2.5</v>
      </c>
      <c r="F40" s="10" t="s">
        <v>56</v>
      </c>
      <c r="G40" s="10" t="s">
        <v>42</v>
      </c>
    </row>
    <row r="41" customFormat="false" ht="15" hidden="false" customHeight="false" outlineLevel="0" collapsed="false">
      <c r="A41" s="10" t="s">
        <v>173</v>
      </c>
      <c r="B41" s="10" t="s">
        <v>181</v>
      </c>
      <c r="C41" s="10" t="s">
        <v>122</v>
      </c>
      <c r="D41" s="10" t="s">
        <v>175</v>
      </c>
      <c r="E41" s="10" t="n">
        <v>2.5</v>
      </c>
      <c r="F41" s="10" t="s">
        <v>90</v>
      </c>
      <c r="G41" s="10" t="s">
        <v>42</v>
      </c>
    </row>
    <row r="42" customFormat="false" ht="15" hidden="false" customHeight="false" outlineLevel="0" collapsed="false">
      <c r="A42" s="10" t="s">
        <v>173</v>
      </c>
      <c r="B42" s="10" t="s">
        <v>183</v>
      </c>
      <c r="C42" s="10" t="s">
        <v>55</v>
      </c>
      <c r="D42" s="10" t="s">
        <v>175</v>
      </c>
      <c r="E42" s="10" t="n">
        <v>2</v>
      </c>
      <c r="F42" s="10" t="s">
        <v>56</v>
      </c>
      <c r="G42" s="10" t="s">
        <v>42</v>
      </c>
    </row>
    <row r="43" customFormat="false" ht="15" hidden="false" customHeight="false" outlineLevel="0" collapsed="false">
      <c r="A43" s="10" t="s">
        <v>173</v>
      </c>
      <c r="B43" s="10" t="s">
        <v>183</v>
      </c>
      <c r="C43" s="10" t="s">
        <v>57</v>
      </c>
      <c r="D43" s="10" t="s">
        <v>175</v>
      </c>
      <c r="E43" s="10" t="n">
        <v>2</v>
      </c>
      <c r="F43" s="10" t="s">
        <v>56</v>
      </c>
      <c r="G43" s="10" t="s">
        <v>42</v>
      </c>
    </row>
    <row r="44" customFormat="false" ht="23.85" hidden="false" customHeight="false" outlineLevel="0" collapsed="false">
      <c r="A44" s="10" t="s">
        <v>173</v>
      </c>
      <c r="B44" s="10" t="s">
        <v>183</v>
      </c>
      <c r="C44" s="10" t="s">
        <v>261</v>
      </c>
      <c r="D44" s="10" t="s">
        <v>175</v>
      </c>
      <c r="E44" s="10" t="n">
        <v>2</v>
      </c>
      <c r="F44" s="10" t="s">
        <v>262</v>
      </c>
      <c r="G44" s="10" t="s">
        <v>42</v>
      </c>
    </row>
    <row r="45" customFormat="false" ht="23.85" hidden="false" customHeight="false" outlineLevel="0" collapsed="false">
      <c r="A45" s="10" t="s">
        <v>173</v>
      </c>
      <c r="B45" s="10" t="s">
        <v>183</v>
      </c>
      <c r="C45" s="10" t="s">
        <v>263</v>
      </c>
      <c r="D45" s="10" t="s">
        <v>175</v>
      </c>
      <c r="E45" s="10" t="n">
        <v>2</v>
      </c>
      <c r="F45" s="10" t="s">
        <v>262</v>
      </c>
      <c r="G45" s="10" t="s">
        <v>42</v>
      </c>
    </row>
    <row r="46" customFormat="false" ht="23.85" hidden="false" customHeight="false" outlineLevel="0" collapsed="false">
      <c r="A46" s="10" t="s">
        <v>173</v>
      </c>
      <c r="B46" s="10" t="s">
        <v>183</v>
      </c>
      <c r="C46" s="10" t="s">
        <v>264</v>
      </c>
      <c r="D46" s="10" t="s">
        <v>175</v>
      </c>
      <c r="E46" s="10" t="n">
        <v>2</v>
      </c>
      <c r="F46" s="10" t="s">
        <v>262</v>
      </c>
      <c r="G46" s="10" t="s">
        <v>42</v>
      </c>
    </row>
    <row r="47" customFormat="false" ht="23.85" hidden="false" customHeight="false" outlineLevel="0" collapsed="false">
      <c r="A47" s="10" t="s">
        <v>173</v>
      </c>
      <c r="B47" s="10" t="s">
        <v>183</v>
      </c>
      <c r="C47" s="10" t="s">
        <v>265</v>
      </c>
      <c r="D47" s="10" t="s">
        <v>175</v>
      </c>
      <c r="E47" s="10" t="n">
        <v>2</v>
      </c>
      <c r="F47" s="10" t="s">
        <v>262</v>
      </c>
      <c r="G47" s="10" t="s">
        <v>42</v>
      </c>
    </row>
    <row r="48" customFormat="false" ht="23.85" hidden="false" customHeight="false" outlineLevel="0" collapsed="false">
      <c r="A48" s="10" t="s">
        <v>173</v>
      </c>
      <c r="B48" s="10" t="s">
        <v>183</v>
      </c>
      <c r="C48" s="10" t="s">
        <v>266</v>
      </c>
      <c r="D48" s="10" t="s">
        <v>175</v>
      </c>
      <c r="E48" s="10" t="n">
        <v>2</v>
      </c>
      <c r="F48" s="10" t="s">
        <v>262</v>
      </c>
      <c r="G48" s="10" t="s">
        <v>42</v>
      </c>
    </row>
    <row r="49" customFormat="false" ht="23.85" hidden="false" customHeight="false" outlineLevel="0" collapsed="false">
      <c r="A49" s="10" t="s">
        <v>173</v>
      </c>
      <c r="B49" s="10" t="s">
        <v>183</v>
      </c>
      <c r="C49" s="10" t="s">
        <v>267</v>
      </c>
      <c r="D49" s="10" t="s">
        <v>175</v>
      </c>
      <c r="E49" s="10" t="n">
        <v>2</v>
      </c>
      <c r="F49" s="10" t="s">
        <v>262</v>
      </c>
      <c r="G49" s="10" t="s">
        <v>42</v>
      </c>
    </row>
    <row r="50" customFormat="false" ht="23.85" hidden="false" customHeight="false" outlineLevel="0" collapsed="false">
      <c r="A50" s="10" t="s">
        <v>173</v>
      </c>
      <c r="B50" s="10" t="s">
        <v>183</v>
      </c>
      <c r="C50" s="10" t="s">
        <v>268</v>
      </c>
      <c r="D50" s="10" t="s">
        <v>175</v>
      </c>
      <c r="E50" s="10" t="n">
        <v>2</v>
      </c>
      <c r="F50" s="10" t="s">
        <v>262</v>
      </c>
      <c r="G50" s="10" t="s">
        <v>42</v>
      </c>
    </row>
    <row r="51" customFormat="false" ht="23.85" hidden="false" customHeight="false" outlineLevel="0" collapsed="false">
      <c r="A51" s="10" t="s">
        <v>173</v>
      </c>
      <c r="B51" s="10" t="s">
        <v>183</v>
      </c>
      <c r="C51" s="10" t="s">
        <v>269</v>
      </c>
      <c r="D51" s="10" t="s">
        <v>175</v>
      </c>
      <c r="E51" s="10" t="n">
        <v>2</v>
      </c>
      <c r="F51" s="10" t="s">
        <v>262</v>
      </c>
      <c r="G51" s="10" t="s">
        <v>42</v>
      </c>
    </row>
    <row r="52" customFormat="false" ht="23.85" hidden="false" customHeight="false" outlineLevel="0" collapsed="false">
      <c r="A52" s="10" t="s">
        <v>173</v>
      </c>
      <c r="B52" s="10" t="s">
        <v>183</v>
      </c>
      <c r="C52" s="10" t="s">
        <v>270</v>
      </c>
      <c r="D52" s="10" t="s">
        <v>175</v>
      </c>
      <c r="E52" s="10" t="n">
        <v>2</v>
      </c>
      <c r="F52" s="10" t="s">
        <v>262</v>
      </c>
      <c r="G52" s="10" t="s">
        <v>42</v>
      </c>
    </row>
    <row r="53" customFormat="false" ht="23.85" hidden="false" customHeight="false" outlineLevel="0" collapsed="false">
      <c r="A53" s="10" t="s">
        <v>173</v>
      </c>
      <c r="B53" s="10" t="s">
        <v>183</v>
      </c>
      <c r="C53" s="10" t="s">
        <v>271</v>
      </c>
      <c r="D53" s="10" t="s">
        <v>175</v>
      </c>
      <c r="E53" s="10" t="n">
        <v>2</v>
      </c>
      <c r="F53" s="10" t="s">
        <v>262</v>
      </c>
      <c r="G53" s="10" t="s">
        <v>42</v>
      </c>
    </row>
    <row r="54" customFormat="false" ht="23.85" hidden="false" customHeight="false" outlineLevel="0" collapsed="false">
      <c r="A54" s="10" t="s">
        <v>173</v>
      </c>
      <c r="B54" s="10" t="s">
        <v>183</v>
      </c>
      <c r="C54" s="10" t="s">
        <v>272</v>
      </c>
      <c r="D54" s="10" t="s">
        <v>175</v>
      </c>
      <c r="E54" s="10" t="n">
        <v>2</v>
      </c>
      <c r="F54" s="10" t="s">
        <v>262</v>
      </c>
      <c r="G54" s="10" t="s">
        <v>42</v>
      </c>
    </row>
    <row r="55" customFormat="false" ht="23.85" hidden="false" customHeight="false" outlineLevel="0" collapsed="false">
      <c r="A55" s="10" t="s">
        <v>173</v>
      </c>
      <c r="B55" s="10" t="s">
        <v>183</v>
      </c>
      <c r="C55" s="10" t="s">
        <v>273</v>
      </c>
      <c r="D55" s="10" t="s">
        <v>175</v>
      </c>
      <c r="E55" s="10" t="n">
        <v>2</v>
      </c>
      <c r="F55" s="10" t="s">
        <v>262</v>
      </c>
      <c r="G55" s="10" t="s">
        <v>42</v>
      </c>
    </row>
    <row r="56" customFormat="false" ht="23.85" hidden="false" customHeight="false" outlineLevel="0" collapsed="false">
      <c r="A56" s="10" t="s">
        <v>173</v>
      </c>
      <c r="B56" s="10" t="s">
        <v>183</v>
      </c>
      <c r="C56" s="10" t="s">
        <v>274</v>
      </c>
      <c r="D56" s="10" t="s">
        <v>175</v>
      </c>
      <c r="E56" s="10" t="n">
        <v>2</v>
      </c>
      <c r="F56" s="10" t="s">
        <v>262</v>
      </c>
      <c r="G56" s="10" t="s">
        <v>42</v>
      </c>
    </row>
    <row r="57" customFormat="false" ht="15" hidden="false" customHeight="false" outlineLevel="0" collapsed="false">
      <c r="A57" s="10" t="s">
        <v>173</v>
      </c>
      <c r="B57" s="10" t="s">
        <v>185</v>
      </c>
      <c r="C57" s="10" t="s">
        <v>99</v>
      </c>
      <c r="D57" s="10" t="s">
        <v>177</v>
      </c>
      <c r="E57" s="10" t="n">
        <v>2</v>
      </c>
      <c r="F57" s="10" t="s">
        <v>90</v>
      </c>
      <c r="G57" s="10" t="s">
        <v>42</v>
      </c>
    </row>
    <row r="58" customFormat="false" ht="15" hidden="false" customHeight="false" outlineLevel="0" collapsed="false">
      <c r="A58" s="10" t="s">
        <v>173</v>
      </c>
      <c r="B58" s="10" t="s">
        <v>185</v>
      </c>
      <c r="C58" s="10" t="s">
        <v>126</v>
      </c>
      <c r="D58" s="10" t="s">
        <v>177</v>
      </c>
      <c r="E58" s="10" t="n">
        <v>2</v>
      </c>
      <c r="F58" s="10" t="s">
        <v>90</v>
      </c>
      <c r="G58" s="10" t="s">
        <v>42</v>
      </c>
    </row>
    <row r="59" customFormat="false" ht="15" hidden="false" customHeight="false" outlineLevel="0" collapsed="false">
      <c r="A59" s="10" t="s">
        <v>173</v>
      </c>
      <c r="B59" s="10" t="s">
        <v>185</v>
      </c>
      <c r="C59" s="10" t="s">
        <v>145</v>
      </c>
      <c r="D59" s="10" t="s">
        <v>177</v>
      </c>
      <c r="E59" s="10" t="n">
        <v>2</v>
      </c>
      <c r="F59" s="10" t="s">
        <v>90</v>
      </c>
      <c r="G59" s="10" t="s">
        <v>42</v>
      </c>
    </row>
    <row r="60" customFormat="false" ht="15" hidden="false" customHeight="false" outlineLevel="0" collapsed="false">
      <c r="A60" s="10" t="s">
        <v>173</v>
      </c>
      <c r="B60" s="10" t="s">
        <v>185</v>
      </c>
      <c r="C60" s="10" t="s">
        <v>76</v>
      </c>
      <c r="D60" s="10" t="s">
        <v>177</v>
      </c>
      <c r="E60" s="10" t="n">
        <v>2</v>
      </c>
      <c r="F60" s="10" t="s">
        <v>56</v>
      </c>
      <c r="G60" s="10" t="s">
        <v>42</v>
      </c>
    </row>
    <row r="61" customFormat="false" ht="15" hidden="false" customHeight="false" outlineLevel="0" collapsed="false">
      <c r="A61" s="10" t="s">
        <v>173</v>
      </c>
      <c r="B61" s="10" t="s">
        <v>185</v>
      </c>
      <c r="C61" s="10" t="s">
        <v>95</v>
      </c>
      <c r="D61" s="10" t="s">
        <v>177</v>
      </c>
      <c r="E61" s="10" t="n">
        <v>2</v>
      </c>
      <c r="F61" s="10" t="s">
        <v>90</v>
      </c>
      <c r="G61" s="10" t="s">
        <v>42</v>
      </c>
    </row>
    <row r="62" customFormat="false" ht="15" hidden="false" customHeight="false" outlineLevel="0" collapsed="false">
      <c r="A62" s="10" t="s">
        <v>173</v>
      </c>
      <c r="B62" s="10" t="s">
        <v>185</v>
      </c>
      <c r="C62" s="10" t="s">
        <v>127</v>
      </c>
      <c r="D62" s="10" t="s">
        <v>177</v>
      </c>
      <c r="E62" s="10" t="n">
        <v>2</v>
      </c>
      <c r="F62" s="10" t="s">
        <v>90</v>
      </c>
      <c r="G62" s="10" t="s">
        <v>42</v>
      </c>
    </row>
    <row r="63" customFormat="false" ht="15" hidden="false" customHeight="false" outlineLevel="0" collapsed="false">
      <c r="A63" s="10" t="s">
        <v>173</v>
      </c>
      <c r="B63" s="10" t="s">
        <v>185</v>
      </c>
      <c r="C63" s="10" t="s">
        <v>100</v>
      </c>
      <c r="D63" s="10" t="s">
        <v>177</v>
      </c>
      <c r="E63" s="10" t="n">
        <v>2</v>
      </c>
      <c r="F63" s="10" t="s">
        <v>90</v>
      </c>
      <c r="G63" s="10" t="s">
        <v>42</v>
      </c>
    </row>
    <row r="64" customFormat="false" ht="15" hidden="false" customHeight="false" outlineLevel="0" collapsed="false">
      <c r="A64" s="10" t="s">
        <v>173</v>
      </c>
      <c r="B64" s="10" t="s">
        <v>185</v>
      </c>
      <c r="C64" s="10" t="s">
        <v>105</v>
      </c>
      <c r="D64" s="10" t="s">
        <v>177</v>
      </c>
      <c r="E64" s="10" t="n">
        <v>2</v>
      </c>
      <c r="F64" s="10" t="s">
        <v>90</v>
      </c>
      <c r="G64" s="10" t="s">
        <v>42</v>
      </c>
    </row>
    <row r="65" customFormat="false" ht="15" hidden="false" customHeight="false" outlineLevel="0" collapsed="false">
      <c r="A65" s="10" t="s">
        <v>173</v>
      </c>
      <c r="B65" s="10" t="s">
        <v>185</v>
      </c>
      <c r="C65" s="10" t="s">
        <v>128</v>
      </c>
      <c r="D65" s="10" t="s">
        <v>177</v>
      </c>
      <c r="E65" s="10" t="n">
        <v>2</v>
      </c>
      <c r="F65" s="10" t="s">
        <v>90</v>
      </c>
      <c r="G65" s="10" t="s">
        <v>42</v>
      </c>
    </row>
    <row r="66" customFormat="false" ht="15" hidden="false" customHeight="false" outlineLevel="0" collapsed="false">
      <c r="A66" s="10" t="s">
        <v>173</v>
      </c>
      <c r="B66" s="10" t="s">
        <v>185</v>
      </c>
      <c r="C66" s="10" t="s">
        <v>96</v>
      </c>
      <c r="D66" s="10" t="s">
        <v>177</v>
      </c>
      <c r="E66" s="10" t="n">
        <v>2</v>
      </c>
      <c r="F66" s="10" t="s">
        <v>90</v>
      </c>
      <c r="G66" s="10" t="s">
        <v>42</v>
      </c>
    </row>
    <row r="67" customFormat="false" ht="15" hidden="false" customHeight="false" outlineLevel="0" collapsed="false">
      <c r="A67" s="10" t="s">
        <v>173</v>
      </c>
      <c r="B67" s="10" t="s">
        <v>185</v>
      </c>
      <c r="C67" s="10" t="s">
        <v>118</v>
      </c>
      <c r="D67" s="10" t="s">
        <v>177</v>
      </c>
      <c r="E67" s="10" t="n">
        <v>2</v>
      </c>
      <c r="F67" s="10" t="s">
        <v>90</v>
      </c>
      <c r="G67" s="10" t="s">
        <v>42</v>
      </c>
    </row>
    <row r="68" customFormat="false" ht="15" hidden="false" customHeight="false" outlineLevel="0" collapsed="false">
      <c r="A68" s="10" t="s">
        <v>173</v>
      </c>
      <c r="B68" s="10" t="s">
        <v>185</v>
      </c>
      <c r="C68" s="10" t="s">
        <v>129</v>
      </c>
      <c r="D68" s="10" t="s">
        <v>177</v>
      </c>
      <c r="E68" s="10" t="n">
        <v>2</v>
      </c>
      <c r="F68" s="10" t="s">
        <v>90</v>
      </c>
      <c r="G68" s="10" t="s">
        <v>42</v>
      </c>
    </row>
    <row r="69" customFormat="false" ht="15" hidden="false" customHeight="false" outlineLevel="0" collapsed="false">
      <c r="A69" s="10" t="s">
        <v>173</v>
      </c>
      <c r="B69" s="10" t="s">
        <v>185</v>
      </c>
      <c r="C69" s="10" t="s">
        <v>121</v>
      </c>
      <c r="D69" s="10" t="s">
        <v>177</v>
      </c>
      <c r="E69" s="10" t="n">
        <v>2</v>
      </c>
      <c r="F69" s="10" t="s">
        <v>90</v>
      </c>
      <c r="G69" s="10" t="s">
        <v>42</v>
      </c>
    </row>
    <row r="70" customFormat="false" ht="15" hidden="false" customHeight="false" outlineLevel="0" collapsed="false">
      <c r="A70" s="10" t="s">
        <v>173</v>
      </c>
      <c r="B70" s="10" t="s">
        <v>185</v>
      </c>
      <c r="C70" s="10" t="s">
        <v>91</v>
      </c>
      <c r="D70" s="10" t="s">
        <v>177</v>
      </c>
      <c r="E70" s="10" t="n">
        <v>2</v>
      </c>
      <c r="F70" s="10" t="s">
        <v>90</v>
      </c>
      <c r="G70" s="10" t="s">
        <v>42</v>
      </c>
    </row>
    <row r="71" customFormat="false" ht="15" hidden="false" customHeight="false" outlineLevel="0" collapsed="false">
      <c r="A71" s="10" t="s">
        <v>173</v>
      </c>
      <c r="B71" s="10" t="s">
        <v>185</v>
      </c>
      <c r="C71" s="10" t="s">
        <v>106</v>
      </c>
      <c r="D71" s="10" t="s">
        <v>177</v>
      </c>
      <c r="E71" s="10" t="n">
        <v>2</v>
      </c>
      <c r="F71" s="10" t="s">
        <v>90</v>
      </c>
      <c r="G71" s="10" t="s">
        <v>42</v>
      </c>
    </row>
    <row r="72" customFormat="false" ht="15" hidden="false" customHeight="false" outlineLevel="0" collapsed="false">
      <c r="A72" s="10" t="s">
        <v>173</v>
      </c>
      <c r="B72" s="10" t="s">
        <v>185</v>
      </c>
      <c r="C72" s="10" t="s">
        <v>124</v>
      </c>
      <c r="D72" s="10" t="s">
        <v>177</v>
      </c>
      <c r="E72" s="10" t="n">
        <v>2</v>
      </c>
      <c r="F72" s="10" t="s">
        <v>90</v>
      </c>
      <c r="G72" s="10" t="s">
        <v>42</v>
      </c>
    </row>
    <row r="73" customFormat="false" ht="15" hidden="false" customHeight="false" outlineLevel="0" collapsed="false">
      <c r="A73" s="10" t="s">
        <v>173</v>
      </c>
      <c r="B73" s="10" t="s">
        <v>185</v>
      </c>
      <c r="C73" s="10" t="s">
        <v>130</v>
      </c>
      <c r="D73" s="10" t="s">
        <v>177</v>
      </c>
      <c r="E73" s="10" t="n">
        <v>2</v>
      </c>
      <c r="F73" s="10" t="s">
        <v>90</v>
      </c>
      <c r="G73" s="10" t="s">
        <v>42</v>
      </c>
    </row>
    <row r="74" customFormat="false" ht="15" hidden="false" customHeight="false" outlineLevel="0" collapsed="false">
      <c r="A74" s="10" t="s">
        <v>173</v>
      </c>
      <c r="B74" s="10" t="s">
        <v>185</v>
      </c>
      <c r="C74" s="10" t="s">
        <v>131</v>
      </c>
      <c r="D74" s="10" t="s">
        <v>177</v>
      </c>
      <c r="E74" s="10" t="n">
        <v>2</v>
      </c>
      <c r="F74" s="10" t="s">
        <v>90</v>
      </c>
      <c r="G74" s="10" t="s">
        <v>42</v>
      </c>
    </row>
    <row r="75" customFormat="false" ht="15" hidden="false" customHeight="false" outlineLevel="0" collapsed="false">
      <c r="A75" s="10" t="s">
        <v>173</v>
      </c>
      <c r="B75" s="10" t="s">
        <v>187</v>
      </c>
      <c r="C75" s="10" t="s">
        <v>92</v>
      </c>
      <c r="D75" s="10" t="s">
        <v>188</v>
      </c>
      <c r="E75" s="10" t="n">
        <v>0.8</v>
      </c>
      <c r="F75" s="10" t="s">
        <v>90</v>
      </c>
      <c r="G75" s="10" t="s">
        <v>42</v>
      </c>
    </row>
    <row r="76" customFormat="false" ht="15" hidden="false" customHeight="false" outlineLevel="0" collapsed="false">
      <c r="A76" s="10" t="s">
        <v>173</v>
      </c>
      <c r="B76" s="10" t="s">
        <v>187</v>
      </c>
      <c r="C76" s="10" t="s">
        <v>94</v>
      </c>
      <c r="D76" s="10" t="s">
        <v>188</v>
      </c>
      <c r="E76" s="10" t="n">
        <v>0.8</v>
      </c>
      <c r="F76" s="10" t="s">
        <v>90</v>
      </c>
      <c r="G76" s="10" t="s">
        <v>42</v>
      </c>
    </row>
    <row r="77" customFormat="false" ht="15" hidden="false" customHeight="false" outlineLevel="0" collapsed="false">
      <c r="A77" s="10" t="s">
        <v>173</v>
      </c>
      <c r="B77" s="10" t="s">
        <v>187</v>
      </c>
      <c r="C77" s="10" t="s">
        <v>147</v>
      </c>
      <c r="D77" s="10" t="s">
        <v>188</v>
      </c>
      <c r="E77" s="10" t="n">
        <v>0.8</v>
      </c>
      <c r="F77" s="10" t="s">
        <v>90</v>
      </c>
      <c r="G77" s="10" t="s">
        <v>42</v>
      </c>
    </row>
    <row r="78" customFormat="false" ht="15" hidden="false" customHeight="false" outlineLevel="0" collapsed="false">
      <c r="A78" s="10" t="s">
        <v>173</v>
      </c>
      <c r="B78" s="10" t="s">
        <v>187</v>
      </c>
      <c r="C78" s="10" t="s">
        <v>148</v>
      </c>
      <c r="D78" s="10" t="s">
        <v>188</v>
      </c>
      <c r="E78" s="10" t="n">
        <v>0.8</v>
      </c>
      <c r="F78" s="10" t="s">
        <v>90</v>
      </c>
      <c r="G78" s="10" t="s">
        <v>42</v>
      </c>
    </row>
    <row r="79" customFormat="false" ht="15" hidden="false" customHeight="false" outlineLevel="0" collapsed="false">
      <c r="A79" s="10" t="s">
        <v>173</v>
      </c>
      <c r="B79" s="10" t="s">
        <v>190</v>
      </c>
      <c r="C79" s="10" t="s">
        <v>101</v>
      </c>
      <c r="D79" s="10" t="s">
        <v>175</v>
      </c>
      <c r="E79" s="10" t="n">
        <v>2</v>
      </c>
      <c r="F79" s="10" t="s">
        <v>90</v>
      </c>
      <c r="G79" s="10" t="s">
        <v>42</v>
      </c>
    </row>
    <row r="80" customFormat="false" ht="15" hidden="false" customHeight="false" outlineLevel="0" collapsed="false">
      <c r="A80" s="10" t="s">
        <v>173</v>
      </c>
      <c r="B80" s="10" t="s">
        <v>190</v>
      </c>
      <c r="C80" s="10" t="s">
        <v>103</v>
      </c>
      <c r="D80" s="10" t="s">
        <v>175</v>
      </c>
      <c r="E80" s="10" t="n">
        <v>2</v>
      </c>
      <c r="F80" s="10" t="s">
        <v>90</v>
      </c>
      <c r="G80" s="10" t="s">
        <v>42</v>
      </c>
    </row>
    <row r="81" customFormat="false" ht="15" hidden="false" customHeight="false" outlineLevel="0" collapsed="false">
      <c r="A81" s="10" t="s">
        <v>173</v>
      </c>
      <c r="B81" s="10" t="s">
        <v>190</v>
      </c>
      <c r="C81" s="10" t="s">
        <v>123</v>
      </c>
      <c r="D81" s="10" t="s">
        <v>175</v>
      </c>
      <c r="E81" s="10" t="n">
        <v>2</v>
      </c>
      <c r="F81" s="10" t="s">
        <v>90</v>
      </c>
      <c r="G81" s="10" t="s">
        <v>42</v>
      </c>
    </row>
    <row r="82" customFormat="false" ht="23.85" hidden="false" customHeight="false" outlineLevel="0" collapsed="false">
      <c r="A82" s="10" t="s">
        <v>173</v>
      </c>
      <c r="B82" s="10" t="s">
        <v>190</v>
      </c>
      <c r="C82" s="10" t="s">
        <v>275</v>
      </c>
      <c r="D82" s="10" t="s">
        <v>175</v>
      </c>
      <c r="E82" s="10" t="n">
        <v>2</v>
      </c>
      <c r="F82" s="10" t="s">
        <v>262</v>
      </c>
      <c r="G82" s="10" t="s">
        <v>42</v>
      </c>
    </row>
    <row r="83" customFormat="false" ht="23.85" hidden="false" customHeight="false" outlineLevel="0" collapsed="false">
      <c r="A83" s="10" t="s">
        <v>173</v>
      </c>
      <c r="B83" s="10" t="s">
        <v>190</v>
      </c>
      <c r="C83" s="10" t="s">
        <v>276</v>
      </c>
      <c r="D83" s="10" t="s">
        <v>175</v>
      </c>
      <c r="E83" s="10" t="n">
        <v>2</v>
      </c>
      <c r="F83" s="10" t="s">
        <v>262</v>
      </c>
      <c r="G83" s="10" t="s">
        <v>42</v>
      </c>
    </row>
    <row r="84" customFormat="false" ht="15" hidden="false" customHeight="false" outlineLevel="0" collapsed="false">
      <c r="A84" s="10" t="s">
        <v>192</v>
      </c>
      <c r="B84" s="10" t="s">
        <v>193</v>
      </c>
      <c r="C84" s="10" t="s">
        <v>27</v>
      </c>
      <c r="D84" s="10" t="s">
        <v>188</v>
      </c>
      <c r="E84" s="10" t="n">
        <v>1.2</v>
      </c>
      <c r="F84" s="10" t="s">
        <v>29</v>
      </c>
      <c r="G84" s="10" t="s">
        <v>32</v>
      </c>
    </row>
    <row r="85" customFormat="false" ht="15" hidden="false" customHeight="false" outlineLevel="0" collapsed="false">
      <c r="A85" s="10" t="s">
        <v>192</v>
      </c>
      <c r="B85" s="10" t="s">
        <v>195</v>
      </c>
      <c r="C85" s="10" t="s">
        <v>63</v>
      </c>
      <c r="D85" s="10" t="s">
        <v>177</v>
      </c>
      <c r="E85" s="10" t="n">
        <v>1.2</v>
      </c>
      <c r="F85" s="10" t="s">
        <v>56</v>
      </c>
      <c r="G85" s="10" t="s">
        <v>51</v>
      </c>
    </row>
    <row r="86" customFormat="false" ht="15" hidden="false" customHeight="false" outlineLevel="0" collapsed="false">
      <c r="A86" s="10" t="s">
        <v>192</v>
      </c>
      <c r="B86" s="10" t="s">
        <v>195</v>
      </c>
      <c r="C86" s="10" t="s">
        <v>64</v>
      </c>
      <c r="D86" s="10" t="s">
        <v>177</v>
      </c>
      <c r="E86" s="10" t="n">
        <v>1.2</v>
      </c>
      <c r="F86" s="10" t="s">
        <v>56</v>
      </c>
      <c r="G86" s="10" t="s">
        <v>51</v>
      </c>
    </row>
    <row r="87" customFormat="false" ht="15" hidden="false" customHeight="false" outlineLevel="0" collapsed="false">
      <c r="A87" s="10" t="s">
        <v>192</v>
      </c>
      <c r="B87" s="10" t="s">
        <v>195</v>
      </c>
      <c r="C87" s="10" t="s">
        <v>65</v>
      </c>
      <c r="D87" s="10" t="s">
        <v>177</v>
      </c>
      <c r="E87" s="10" t="n">
        <v>1.2</v>
      </c>
      <c r="F87" s="10" t="s">
        <v>56</v>
      </c>
      <c r="G87" s="10" t="s">
        <v>51</v>
      </c>
    </row>
    <row r="88" customFormat="false" ht="15" hidden="false" customHeight="false" outlineLevel="0" collapsed="false">
      <c r="A88" s="10" t="s">
        <v>192</v>
      </c>
      <c r="B88" s="10" t="s">
        <v>195</v>
      </c>
      <c r="C88" s="10" t="s">
        <v>50</v>
      </c>
      <c r="D88" s="10" t="s">
        <v>177</v>
      </c>
      <c r="E88" s="10" t="n">
        <v>1.2</v>
      </c>
      <c r="F88" s="10" t="s">
        <v>40</v>
      </c>
      <c r="G88" s="10" t="s">
        <v>51</v>
      </c>
    </row>
    <row r="89" customFormat="false" ht="15" hidden="false" customHeight="false" outlineLevel="0" collapsed="false">
      <c r="A89" s="10" t="s">
        <v>192</v>
      </c>
      <c r="B89" s="10" t="s">
        <v>195</v>
      </c>
      <c r="C89" s="10" t="s">
        <v>132</v>
      </c>
      <c r="D89" s="10" t="s">
        <v>177</v>
      </c>
      <c r="E89" s="10" t="n">
        <v>1.2</v>
      </c>
      <c r="F89" s="10" t="s">
        <v>90</v>
      </c>
      <c r="G89" s="10" t="s">
        <v>51</v>
      </c>
    </row>
    <row r="90" customFormat="false" ht="15" hidden="false" customHeight="false" outlineLevel="0" collapsed="false">
      <c r="A90" s="10" t="s">
        <v>192</v>
      </c>
      <c r="B90" s="10" t="s">
        <v>195</v>
      </c>
      <c r="C90" s="10" t="s">
        <v>81</v>
      </c>
      <c r="D90" s="10" t="s">
        <v>177</v>
      </c>
      <c r="E90" s="10" t="n">
        <v>1.2</v>
      </c>
      <c r="F90" s="10" t="s">
        <v>56</v>
      </c>
      <c r="G90" s="10" t="s">
        <v>51</v>
      </c>
    </row>
    <row r="91" customFormat="false" ht="15" hidden="false" customHeight="false" outlineLevel="0" collapsed="false">
      <c r="A91" s="10" t="s">
        <v>192</v>
      </c>
      <c r="B91" s="10" t="s">
        <v>195</v>
      </c>
      <c r="C91" s="10" t="s">
        <v>146</v>
      </c>
      <c r="D91" s="10" t="s">
        <v>177</v>
      </c>
      <c r="E91" s="10" t="n">
        <v>1.2</v>
      </c>
      <c r="F91" s="10" t="s">
        <v>90</v>
      </c>
      <c r="G91" s="10" t="s">
        <v>51</v>
      </c>
    </row>
    <row r="92" customFormat="false" ht="15" hidden="false" customHeight="false" outlineLevel="0" collapsed="false">
      <c r="A92" s="10" t="s">
        <v>192</v>
      </c>
      <c r="B92" s="10" t="s">
        <v>195</v>
      </c>
      <c r="C92" s="10" t="s">
        <v>135</v>
      </c>
      <c r="D92" s="10" t="s">
        <v>177</v>
      </c>
      <c r="E92" s="10" t="n">
        <v>1.2</v>
      </c>
      <c r="F92" s="10" t="s">
        <v>90</v>
      </c>
      <c r="G92" s="10" t="s">
        <v>51</v>
      </c>
    </row>
    <row r="93" customFormat="false" ht="15" hidden="false" customHeight="false" outlineLevel="0" collapsed="false">
      <c r="A93" s="10" t="s">
        <v>192</v>
      </c>
      <c r="B93" s="10" t="s">
        <v>195</v>
      </c>
      <c r="C93" s="10" t="s">
        <v>133</v>
      </c>
      <c r="D93" s="10" t="s">
        <v>177</v>
      </c>
      <c r="E93" s="10" t="n">
        <v>1.2</v>
      </c>
      <c r="F93" s="10" t="s">
        <v>90</v>
      </c>
      <c r="G93" s="10" t="s">
        <v>51</v>
      </c>
    </row>
    <row r="94" customFormat="false" ht="15" hidden="false" customHeight="false" outlineLevel="0" collapsed="false">
      <c r="A94" s="26" t="s">
        <v>192</v>
      </c>
      <c r="B94" s="26" t="s">
        <v>197</v>
      </c>
      <c r="C94" s="26" t="s">
        <v>45</v>
      </c>
      <c r="D94" s="26" t="s">
        <v>177</v>
      </c>
      <c r="E94" s="26" t="n">
        <v>0.8</v>
      </c>
      <c r="F94" s="26" t="s">
        <v>40</v>
      </c>
      <c r="G94" s="26" t="s">
        <v>46</v>
      </c>
    </row>
    <row r="95" customFormat="false" ht="15" hidden="false" customHeight="false" outlineLevel="0" collapsed="false">
      <c r="A95" s="26" t="s">
        <v>192</v>
      </c>
      <c r="B95" s="26" t="s">
        <v>197</v>
      </c>
      <c r="C95" s="26" t="s">
        <v>54</v>
      </c>
      <c r="D95" s="26" t="s">
        <v>177</v>
      </c>
      <c r="E95" s="26" t="n">
        <v>0.8</v>
      </c>
      <c r="F95" s="26" t="s">
        <v>40</v>
      </c>
      <c r="G95" s="26" t="s">
        <v>46</v>
      </c>
    </row>
    <row r="96" customFormat="false" ht="15" hidden="false" customHeight="false" outlineLevel="0" collapsed="false">
      <c r="A96" s="26" t="s">
        <v>192</v>
      </c>
      <c r="B96" s="26" t="s">
        <v>197</v>
      </c>
      <c r="C96" s="26" t="s">
        <v>87</v>
      </c>
      <c r="D96" s="26" t="s">
        <v>177</v>
      </c>
      <c r="E96" s="26" t="n">
        <v>0.8</v>
      </c>
      <c r="F96" s="26" t="s">
        <v>56</v>
      </c>
      <c r="G96" s="26" t="s">
        <v>46</v>
      </c>
    </row>
    <row r="97" customFormat="false" ht="15" hidden="false" customHeight="false" outlineLevel="0" collapsed="false">
      <c r="A97" s="26" t="s">
        <v>192</v>
      </c>
      <c r="B97" s="26" t="s">
        <v>197</v>
      </c>
      <c r="C97" s="26" t="s">
        <v>144</v>
      </c>
      <c r="D97" s="26" t="s">
        <v>177</v>
      </c>
      <c r="E97" s="26" t="n">
        <v>0.8</v>
      </c>
      <c r="F97" s="26" t="s">
        <v>90</v>
      </c>
      <c r="G97" s="26" t="s">
        <v>46</v>
      </c>
    </row>
    <row r="98" customFormat="false" ht="15" hidden="false" customHeight="false" outlineLevel="0" collapsed="false">
      <c r="A98" s="26" t="s">
        <v>192</v>
      </c>
      <c r="B98" s="26" t="s">
        <v>199</v>
      </c>
      <c r="C98" s="26" t="s">
        <v>37</v>
      </c>
      <c r="D98" s="26" t="s">
        <v>177</v>
      </c>
      <c r="E98" s="26" t="n">
        <v>1</v>
      </c>
      <c r="F98" s="26" t="s">
        <v>56</v>
      </c>
      <c r="G98" s="26" t="s">
        <v>46</v>
      </c>
    </row>
    <row r="99" customFormat="false" ht="15" hidden="false" customHeight="false" outlineLevel="0" collapsed="false">
      <c r="A99" s="26" t="s">
        <v>192</v>
      </c>
      <c r="B99" s="26" t="s">
        <v>199</v>
      </c>
      <c r="C99" s="26" t="s">
        <v>88</v>
      </c>
      <c r="D99" s="26" t="s">
        <v>177</v>
      </c>
      <c r="E99" s="26" t="n">
        <v>1</v>
      </c>
      <c r="F99" s="26" t="s">
        <v>56</v>
      </c>
      <c r="G99" s="26" t="s">
        <v>46</v>
      </c>
    </row>
    <row r="100" customFormat="false" ht="15" hidden="false" customHeight="false" outlineLevel="0" collapsed="false">
      <c r="A100" s="26" t="s">
        <v>192</v>
      </c>
      <c r="B100" s="26" t="s">
        <v>199</v>
      </c>
      <c r="C100" s="26" t="s">
        <v>136</v>
      </c>
      <c r="D100" s="26" t="s">
        <v>177</v>
      </c>
      <c r="E100" s="26" t="n">
        <v>1</v>
      </c>
      <c r="F100" s="26" t="s">
        <v>90</v>
      </c>
      <c r="G100" s="26" t="s">
        <v>46</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2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40"/>
    <col collapsed="false" customWidth="true" hidden="false" outlineLevel="0" max="4" min="4" style="0" width="50"/>
  </cols>
  <sheetData>
    <row r="1" customFormat="false" ht="17.35" hidden="false" customHeight="false" outlineLevel="0" collapsed="false">
      <c r="A1" s="7" t="s">
        <v>277</v>
      </c>
    </row>
    <row r="2" customFormat="false" ht="45" hidden="false" customHeight="true" outlineLevel="0" collapsed="false">
      <c r="A2" s="8" t="s">
        <v>278</v>
      </c>
      <c r="B2" s="8"/>
      <c r="C2" s="8"/>
      <c r="D2" s="8"/>
    </row>
    <row r="4" customFormat="false" ht="15" hidden="false" customHeight="false" outlineLevel="0" collapsed="false">
      <c r="A4" s="9" t="s">
        <v>279</v>
      </c>
      <c r="B4" s="9" t="s">
        <v>169</v>
      </c>
      <c r="C4" s="9" t="s">
        <v>16</v>
      </c>
      <c r="D4" s="9" t="s">
        <v>172</v>
      </c>
    </row>
    <row r="5" customFormat="false" ht="15" hidden="false" customHeight="false" outlineLevel="0" collapsed="false">
      <c r="A5" s="10" t="s">
        <v>280</v>
      </c>
      <c r="B5" s="10" t="s">
        <v>281</v>
      </c>
      <c r="C5" s="10" t="s">
        <v>36</v>
      </c>
      <c r="D5" s="10" t="s">
        <v>282</v>
      </c>
    </row>
    <row r="6" customFormat="false" ht="15" hidden="false" customHeight="false" outlineLevel="0" collapsed="false">
      <c r="A6" s="10" t="s">
        <v>280</v>
      </c>
      <c r="B6" s="10" t="s">
        <v>281</v>
      </c>
      <c r="C6" s="10" t="s">
        <v>33</v>
      </c>
      <c r="D6" s="10" t="s">
        <v>283</v>
      </c>
    </row>
    <row r="7" customFormat="false" ht="15" hidden="false" customHeight="false" outlineLevel="0" collapsed="false">
      <c r="A7" s="10" t="s">
        <v>284</v>
      </c>
      <c r="B7" s="10" t="s">
        <v>281</v>
      </c>
      <c r="C7" s="10" t="s">
        <v>27</v>
      </c>
      <c r="D7" s="10" t="s">
        <v>285</v>
      </c>
    </row>
    <row r="8" customFormat="false" ht="15" hidden="false" customHeight="false" outlineLevel="0" collapsed="false">
      <c r="A8" s="10" t="s">
        <v>280</v>
      </c>
      <c r="B8" s="10" t="s">
        <v>177</v>
      </c>
      <c r="C8" s="10" t="s">
        <v>84</v>
      </c>
      <c r="D8" s="10" t="s">
        <v>286</v>
      </c>
    </row>
    <row r="9" customFormat="false" ht="15" hidden="false" customHeight="false" outlineLevel="0" collapsed="false">
      <c r="A9" s="10" t="s">
        <v>280</v>
      </c>
      <c r="B9" s="10" t="s">
        <v>177</v>
      </c>
      <c r="C9" s="10" t="s">
        <v>287</v>
      </c>
      <c r="D9" s="10" t="s">
        <v>288</v>
      </c>
    </row>
    <row r="10" customFormat="false" ht="15" hidden="false" customHeight="false" outlineLevel="0" collapsed="false">
      <c r="A10" s="10" t="s">
        <v>280</v>
      </c>
      <c r="B10" s="10" t="s">
        <v>177</v>
      </c>
      <c r="C10" s="10" t="s">
        <v>289</v>
      </c>
      <c r="D10" s="10" t="s">
        <v>290</v>
      </c>
    </row>
    <row r="11" customFormat="false" ht="15" hidden="false" customHeight="false" outlineLevel="0" collapsed="false">
      <c r="A11" s="10" t="s">
        <v>280</v>
      </c>
      <c r="B11" s="10" t="s">
        <v>177</v>
      </c>
      <c r="C11" s="10" t="s">
        <v>291</v>
      </c>
      <c r="D11" s="10" t="s">
        <v>292</v>
      </c>
    </row>
    <row r="12" customFormat="false" ht="15" hidden="false" customHeight="false" outlineLevel="0" collapsed="false">
      <c r="A12" s="10" t="s">
        <v>280</v>
      </c>
      <c r="B12" s="10" t="s">
        <v>177</v>
      </c>
      <c r="C12" s="10" t="s">
        <v>293</v>
      </c>
      <c r="D12" s="10" t="s">
        <v>292</v>
      </c>
    </row>
    <row r="13" customFormat="false" ht="15" hidden="false" customHeight="false" outlineLevel="0" collapsed="false">
      <c r="A13" s="10" t="s">
        <v>280</v>
      </c>
      <c r="B13" s="10" t="s">
        <v>177</v>
      </c>
      <c r="C13" s="10" t="s">
        <v>294</v>
      </c>
      <c r="D13" s="10" t="s">
        <v>295</v>
      </c>
    </row>
    <row r="14" customFormat="false" ht="15" hidden="false" customHeight="false" outlineLevel="0" collapsed="false">
      <c r="A14" s="10" t="s">
        <v>280</v>
      </c>
      <c r="B14" s="10" t="s">
        <v>177</v>
      </c>
      <c r="C14" s="10" t="s">
        <v>296</v>
      </c>
      <c r="D14" s="10" t="s">
        <v>295</v>
      </c>
    </row>
    <row r="15" customFormat="false" ht="15" hidden="false" customHeight="false" outlineLevel="0" collapsed="false">
      <c r="A15" s="10" t="s">
        <v>280</v>
      </c>
      <c r="B15" s="10" t="s">
        <v>177</v>
      </c>
      <c r="C15" s="10" t="s">
        <v>125</v>
      </c>
      <c r="D15" s="10" t="s">
        <v>297</v>
      </c>
    </row>
    <row r="16" customFormat="false" ht="15" hidden="false" customHeight="false" outlineLevel="0" collapsed="false">
      <c r="A16" s="10" t="s">
        <v>280</v>
      </c>
      <c r="B16" s="10" t="s">
        <v>177</v>
      </c>
      <c r="C16" s="10" t="s">
        <v>298</v>
      </c>
      <c r="D16" s="10" t="s">
        <v>299</v>
      </c>
    </row>
    <row r="17" customFormat="false" ht="15" hidden="false" customHeight="false" outlineLevel="0" collapsed="false">
      <c r="A17" s="10" t="s">
        <v>280</v>
      </c>
      <c r="B17" s="10" t="s">
        <v>177</v>
      </c>
      <c r="C17" s="10" t="s">
        <v>108</v>
      </c>
      <c r="D17" s="10" t="s">
        <v>300</v>
      </c>
    </row>
    <row r="18" customFormat="false" ht="15" hidden="false" customHeight="false" outlineLevel="0" collapsed="false">
      <c r="A18" s="10" t="s">
        <v>280</v>
      </c>
      <c r="B18" s="10" t="s">
        <v>177</v>
      </c>
      <c r="C18" s="10" t="s">
        <v>301</v>
      </c>
      <c r="D18" s="10" t="s">
        <v>302</v>
      </c>
    </row>
    <row r="19" customFormat="false" ht="15" hidden="false" customHeight="false" outlineLevel="0" collapsed="false">
      <c r="A19" s="10" t="s">
        <v>280</v>
      </c>
      <c r="B19" s="10" t="s">
        <v>177</v>
      </c>
      <c r="C19" s="10" t="s">
        <v>303</v>
      </c>
      <c r="D19" s="10" t="s">
        <v>302</v>
      </c>
    </row>
    <row r="20" customFormat="false" ht="15" hidden="false" customHeight="false" outlineLevel="0" collapsed="false">
      <c r="A20" s="10" t="s">
        <v>280</v>
      </c>
      <c r="B20" s="10" t="s">
        <v>177</v>
      </c>
      <c r="C20" s="10" t="s">
        <v>304</v>
      </c>
      <c r="D20" s="10" t="s">
        <v>302</v>
      </c>
    </row>
    <row r="21" customFormat="false" ht="15" hidden="false" customHeight="false" outlineLevel="0" collapsed="false">
      <c r="A21" s="10" t="s">
        <v>280</v>
      </c>
      <c r="B21" s="10" t="s">
        <v>177</v>
      </c>
      <c r="C21" s="10" t="s">
        <v>305</v>
      </c>
      <c r="D21" s="10" t="s">
        <v>302</v>
      </c>
    </row>
    <row r="22" customFormat="false" ht="15" hidden="false" customHeight="false" outlineLevel="0" collapsed="false">
      <c r="A22" s="10" t="s">
        <v>306</v>
      </c>
      <c r="B22" s="10" t="s">
        <v>177</v>
      </c>
      <c r="C22" s="10" t="s">
        <v>307</v>
      </c>
      <c r="D22" s="10" t="s">
        <v>308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E3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4" min="3" style="0" width="40"/>
    <col collapsed="false" customWidth="true" hidden="false" outlineLevel="0" max="5" min="5" style="0" width="50"/>
  </cols>
  <sheetData>
    <row r="1" customFormat="false" ht="17.35" hidden="false" customHeight="false" outlineLevel="0" collapsed="false">
      <c r="A1" s="7" t="s">
        <v>309</v>
      </c>
    </row>
    <row r="2" customFormat="false" ht="45" hidden="false" customHeight="true" outlineLevel="0" collapsed="false">
      <c r="A2" s="8" t="s">
        <v>310</v>
      </c>
      <c r="B2" s="8"/>
      <c r="C2" s="8"/>
      <c r="D2" s="8"/>
      <c r="E2" s="8"/>
    </row>
    <row r="4" customFormat="false" ht="15" hidden="false" customHeight="false" outlineLevel="0" collapsed="false">
      <c r="A4" s="9" t="s">
        <v>311</v>
      </c>
      <c r="B4" s="9" t="s">
        <v>312</v>
      </c>
      <c r="C4" s="9" t="s">
        <v>313</v>
      </c>
      <c r="D4" s="9" t="s">
        <v>314</v>
      </c>
      <c r="E4" s="9" t="s">
        <v>315</v>
      </c>
    </row>
    <row r="5" customFormat="false" ht="15" hidden="false" customHeight="false" outlineLevel="0" collapsed="false">
      <c r="A5" s="10" t="s">
        <v>316</v>
      </c>
      <c r="B5" s="10" t="s">
        <v>317</v>
      </c>
      <c r="C5" s="10" t="s">
        <v>318</v>
      </c>
      <c r="D5" s="10" t="s">
        <v>319</v>
      </c>
      <c r="E5" s="10" t="s">
        <v>320</v>
      </c>
    </row>
    <row r="6" customFormat="false" ht="35.05" hidden="false" customHeight="false" outlineLevel="0" collapsed="false">
      <c r="A6" s="10" t="s">
        <v>316</v>
      </c>
      <c r="B6" s="10" t="s">
        <v>321</v>
      </c>
      <c r="C6" s="10" t="s">
        <v>322</v>
      </c>
      <c r="D6" s="10" t="s">
        <v>323</v>
      </c>
      <c r="E6" s="10" t="s">
        <v>324</v>
      </c>
    </row>
    <row r="7" customFormat="false" ht="23.85" hidden="false" customHeight="false" outlineLevel="0" collapsed="false">
      <c r="A7" s="10" t="s">
        <v>325</v>
      </c>
      <c r="B7" s="10" t="s">
        <v>321</v>
      </c>
      <c r="C7" s="10" t="s">
        <v>326</v>
      </c>
      <c r="D7" s="10" t="s">
        <v>327</v>
      </c>
      <c r="E7" s="10" t="s">
        <v>328</v>
      </c>
    </row>
    <row r="8" customFormat="false" ht="23.85" hidden="false" customHeight="false" outlineLevel="0" collapsed="false">
      <c r="A8" s="10" t="s">
        <v>329</v>
      </c>
      <c r="B8" s="10" t="s">
        <v>321</v>
      </c>
      <c r="C8" s="10" t="s">
        <v>330</v>
      </c>
      <c r="D8" s="10" t="s">
        <v>331</v>
      </c>
      <c r="E8" s="10" t="s">
        <v>328</v>
      </c>
    </row>
    <row r="9" customFormat="false" ht="15" hidden="false" customHeight="false" outlineLevel="0" collapsed="false">
      <c r="A9" s="10" t="s">
        <v>316</v>
      </c>
      <c r="B9" s="10" t="s">
        <v>332</v>
      </c>
      <c r="C9" s="10" t="s">
        <v>333</v>
      </c>
      <c r="D9" s="10" t="s">
        <v>334</v>
      </c>
      <c r="E9" s="10" t="s">
        <v>335</v>
      </c>
    </row>
    <row r="10" customFormat="false" ht="23.85" hidden="false" customHeight="false" outlineLevel="0" collapsed="false">
      <c r="A10" s="10" t="s">
        <v>316</v>
      </c>
      <c r="B10" s="10" t="s">
        <v>336</v>
      </c>
      <c r="C10" s="10" t="s">
        <v>337</v>
      </c>
      <c r="D10" s="10" t="s">
        <v>338</v>
      </c>
      <c r="E10" s="10" t="s">
        <v>339</v>
      </c>
    </row>
    <row r="11" customFormat="false" ht="15" hidden="false" customHeight="false" outlineLevel="0" collapsed="false">
      <c r="A11" s="10" t="s">
        <v>325</v>
      </c>
      <c r="B11" s="10" t="s">
        <v>340</v>
      </c>
      <c r="C11" s="10" t="s">
        <v>341</v>
      </c>
      <c r="D11" s="10" t="s">
        <v>342</v>
      </c>
      <c r="E11" s="10" t="s">
        <v>328</v>
      </c>
    </row>
    <row r="12" customFormat="false" ht="15" hidden="false" customHeight="false" outlineLevel="0" collapsed="false">
      <c r="A12" s="10" t="s">
        <v>329</v>
      </c>
      <c r="B12" s="10" t="s">
        <v>343</v>
      </c>
      <c r="C12" s="10" t="s">
        <v>344</v>
      </c>
      <c r="D12" s="10" t="s">
        <v>345</v>
      </c>
      <c r="E12" s="10" t="s">
        <v>328</v>
      </c>
    </row>
    <row r="13" customFormat="false" ht="15" hidden="false" customHeight="false" outlineLevel="0" collapsed="false">
      <c r="A13" s="10" t="s">
        <v>316</v>
      </c>
      <c r="B13" s="10" t="s">
        <v>346</v>
      </c>
      <c r="C13" s="10" t="s">
        <v>347</v>
      </c>
      <c r="D13" s="10" t="s">
        <v>348</v>
      </c>
      <c r="E13" s="10" t="s">
        <v>349</v>
      </c>
    </row>
    <row r="14" customFormat="false" ht="15" hidden="false" customHeight="false" outlineLevel="0" collapsed="false">
      <c r="A14" s="10" t="s">
        <v>329</v>
      </c>
      <c r="B14" s="10" t="s">
        <v>350</v>
      </c>
      <c r="C14" s="10" t="s">
        <v>351</v>
      </c>
      <c r="D14" s="10" t="s">
        <v>352</v>
      </c>
      <c r="E14" s="10" t="s">
        <v>353</v>
      </c>
    </row>
    <row r="15" customFormat="false" ht="23.85" hidden="false" customHeight="false" outlineLevel="0" collapsed="false">
      <c r="A15" s="10" t="s">
        <v>329</v>
      </c>
      <c r="B15" s="10" t="s">
        <v>354</v>
      </c>
      <c r="C15" s="10" t="s">
        <v>355</v>
      </c>
      <c r="D15" s="10" t="s">
        <v>356</v>
      </c>
      <c r="E15" s="10" t="s">
        <v>357</v>
      </c>
    </row>
    <row r="16" customFormat="false" ht="15" hidden="false" customHeight="false" outlineLevel="0" collapsed="false">
      <c r="A16" s="10" t="s">
        <v>329</v>
      </c>
      <c r="B16" s="10" t="s">
        <v>358</v>
      </c>
      <c r="C16" s="10" t="s">
        <v>359</v>
      </c>
      <c r="D16" s="10" t="s">
        <v>360</v>
      </c>
      <c r="E16" s="10" t="s">
        <v>357</v>
      </c>
    </row>
    <row r="17" customFormat="false" ht="15" hidden="false" customHeight="false" outlineLevel="0" collapsed="false">
      <c r="A17" s="10" t="s">
        <v>329</v>
      </c>
      <c r="B17" s="10" t="s">
        <v>361</v>
      </c>
      <c r="C17" s="10" t="s">
        <v>362</v>
      </c>
      <c r="D17" s="10" t="s">
        <v>363</v>
      </c>
      <c r="E17" s="10" t="s">
        <v>357</v>
      </c>
    </row>
    <row r="18" customFormat="false" ht="15" hidden="false" customHeight="false" outlineLevel="0" collapsed="false">
      <c r="A18" s="10" t="s">
        <v>329</v>
      </c>
      <c r="B18" s="10" t="s">
        <v>364</v>
      </c>
      <c r="C18" s="10" t="s">
        <v>365</v>
      </c>
      <c r="D18" s="10" t="s">
        <v>366</v>
      </c>
      <c r="E18" s="10" t="s">
        <v>367</v>
      </c>
    </row>
    <row r="19" customFormat="false" ht="15" hidden="false" customHeight="false" outlineLevel="0" collapsed="false">
      <c r="A19" s="10" t="s">
        <v>329</v>
      </c>
      <c r="B19" s="10" t="s">
        <v>368</v>
      </c>
      <c r="C19" s="10" t="s">
        <v>369</v>
      </c>
      <c r="D19" s="10" t="s">
        <v>370</v>
      </c>
      <c r="E19" s="10" t="s">
        <v>367</v>
      </c>
    </row>
    <row r="20" customFormat="false" ht="23.85" hidden="false" customHeight="false" outlineLevel="0" collapsed="false">
      <c r="A20" s="10" t="s">
        <v>329</v>
      </c>
      <c r="B20" s="10" t="s">
        <v>336</v>
      </c>
      <c r="C20" s="10" t="s">
        <v>371</v>
      </c>
      <c r="D20" s="10" t="s">
        <v>372</v>
      </c>
      <c r="E20" s="10" t="s">
        <v>357</v>
      </c>
    </row>
    <row r="21" customFormat="false" ht="15" hidden="false" customHeight="false" outlineLevel="0" collapsed="false">
      <c r="A21" s="10" t="s">
        <v>329</v>
      </c>
      <c r="B21" s="10" t="s">
        <v>373</v>
      </c>
      <c r="C21" s="10" t="s">
        <v>374</v>
      </c>
      <c r="D21" s="10" t="s">
        <v>375</v>
      </c>
      <c r="E21" s="10" t="s">
        <v>357</v>
      </c>
    </row>
    <row r="22" customFormat="false" ht="15" hidden="false" customHeight="false" outlineLevel="0" collapsed="false">
      <c r="A22" s="10" t="s">
        <v>329</v>
      </c>
      <c r="B22" s="10" t="s">
        <v>376</v>
      </c>
      <c r="C22" s="10" t="s">
        <v>377</v>
      </c>
      <c r="D22" s="10" t="s">
        <v>378</v>
      </c>
      <c r="E22" s="10" t="s">
        <v>357</v>
      </c>
    </row>
    <row r="23" customFormat="false" ht="15" hidden="false" customHeight="false" outlineLevel="0" collapsed="false">
      <c r="A23" s="10" t="s">
        <v>329</v>
      </c>
      <c r="B23" s="10" t="s">
        <v>379</v>
      </c>
      <c r="C23" s="10" t="s">
        <v>380</v>
      </c>
      <c r="D23" s="10" t="s">
        <v>381</v>
      </c>
      <c r="E23" s="10" t="s">
        <v>357</v>
      </c>
    </row>
    <row r="24" customFormat="false" ht="15" hidden="false" customHeight="false" outlineLevel="0" collapsed="false">
      <c r="A24" s="10" t="s">
        <v>329</v>
      </c>
      <c r="B24" s="10" t="s">
        <v>382</v>
      </c>
      <c r="C24" s="10" t="s">
        <v>383</v>
      </c>
      <c r="D24" s="10" t="s">
        <v>384</v>
      </c>
      <c r="E24" s="10" t="s">
        <v>357</v>
      </c>
    </row>
    <row r="25" customFormat="false" ht="15" hidden="false" customHeight="false" outlineLevel="0" collapsed="false">
      <c r="A25" s="10" t="s">
        <v>329</v>
      </c>
      <c r="B25" s="10" t="s">
        <v>385</v>
      </c>
      <c r="C25" s="10" t="s">
        <v>386</v>
      </c>
      <c r="D25" s="10" t="s">
        <v>387</v>
      </c>
      <c r="E25" s="10" t="s">
        <v>357</v>
      </c>
    </row>
    <row r="26" customFormat="false" ht="15" hidden="false" customHeight="false" outlineLevel="0" collapsed="false">
      <c r="A26" s="10" t="s">
        <v>316</v>
      </c>
      <c r="B26" s="10" t="s">
        <v>388</v>
      </c>
      <c r="C26" s="10" t="s">
        <v>389</v>
      </c>
      <c r="D26" s="10" t="s">
        <v>390</v>
      </c>
      <c r="E26" s="10" t="s">
        <v>357</v>
      </c>
    </row>
    <row r="27" customFormat="false" ht="15" hidden="false" customHeight="false" outlineLevel="0" collapsed="false">
      <c r="A27" s="10" t="s">
        <v>316</v>
      </c>
      <c r="B27" s="10" t="s">
        <v>361</v>
      </c>
      <c r="C27" s="10" t="s">
        <v>391</v>
      </c>
      <c r="D27" s="10" t="s">
        <v>392</v>
      </c>
      <c r="E27" s="10" t="s">
        <v>367</v>
      </c>
    </row>
    <row r="28" customFormat="false" ht="15" hidden="false" customHeight="false" outlineLevel="0" collapsed="false">
      <c r="A28" s="10" t="s">
        <v>316</v>
      </c>
      <c r="B28" s="10" t="s">
        <v>393</v>
      </c>
      <c r="C28" s="10" t="s">
        <v>394</v>
      </c>
      <c r="D28" s="10" t="s">
        <v>395</v>
      </c>
      <c r="E28" s="10" t="s">
        <v>357</v>
      </c>
    </row>
    <row r="29" customFormat="false" ht="15" hidden="false" customHeight="false" outlineLevel="0" collapsed="false">
      <c r="A29" s="10" t="s">
        <v>316</v>
      </c>
      <c r="B29" s="10" t="s">
        <v>376</v>
      </c>
      <c r="C29" s="10" t="s">
        <v>396</v>
      </c>
      <c r="D29" s="10" t="s">
        <v>397</v>
      </c>
      <c r="E29" s="10" t="s">
        <v>357</v>
      </c>
    </row>
    <row r="30" customFormat="false" ht="15" hidden="false" customHeight="false" outlineLevel="0" collapsed="false">
      <c r="A30" s="10" t="s">
        <v>325</v>
      </c>
      <c r="B30" s="10" t="s">
        <v>398</v>
      </c>
      <c r="C30" s="10" t="s">
        <v>399</v>
      </c>
      <c r="D30" s="10" t="s">
        <v>400</v>
      </c>
      <c r="E30" s="10" t="s">
        <v>367</v>
      </c>
    </row>
    <row r="31" customFormat="false" ht="15" hidden="false" customHeight="false" outlineLevel="0" collapsed="false">
      <c r="A31" s="10" t="s">
        <v>316</v>
      </c>
      <c r="B31" s="10" t="s">
        <v>401</v>
      </c>
      <c r="C31" s="10" t="s">
        <v>402</v>
      </c>
      <c r="D31" s="10" t="s">
        <v>403</v>
      </c>
      <c r="E31" s="10" t="s">
        <v>404</v>
      </c>
    </row>
    <row r="32" customFormat="false" ht="15" hidden="false" customHeight="false" outlineLevel="0" collapsed="false">
      <c r="A32" s="10" t="s">
        <v>325</v>
      </c>
      <c r="B32" s="10" t="s">
        <v>405</v>
      </c>
      <c r="C32" s="10" t="s">
        <v>406</v>
      </c>
      <c r="D32" s="10" t="s">
        <v>407</v>
      </c>
      <c r="E32" s="10" t="s">
        <v>328</v>
      </c>
    </row>
    <row r="33" customFormat="false" ht="15" hidden="false" customHeight="false" outlineLevel="0" collapsed="false">
      <c r="A33" s="10" t="s">
        <v>329</v>
      </c>
      <c r="B33" s="10" t="s">
        <v>317</v>
      </c>
      <c r="C33" s="10" t="s">
        <v>408</v>
      </c>
      <c r="D33" s="10" t="s">
        <v>409</v>
      </c>
      <c r="E33" s="10" t="s">
        <v>328</v>
      </c>
    </row>
    <row r="34" customFormat="false" ht="35.05" hidden="false" customHeight="false" outlineLevel="0" collapsed="false">
      <c r="A34" s="10" t="s">
        <v>316</v>
      </c>
      <c r="B34" s="10" t="s">
        <v>321</v>
      </c>
      <c r="C34" s="10" t="s">
        <v>323</v>
      </c>
      <c r="D34" s="10" t="s">
        <v>410</v>
      </c>
      <c r="E34" s="10" t="s">
        <v>411</v>
      </c>
    </row>
    <row r="35" customFormat="false" ht="23.85" hidden="false" customHeight="false" outlineLevel="0" collapsed="false">
      <c r="A35" s="10" t="s">
        <v>325</v>
      </c>
      <c r="B35" s="10" t="s">
        <v>321</v>
      </c>
      <c r="C35" s="10" t="s">
        <v>327</v>
      </c>
      <c r="D35" s="10" t="s">
        <v>412</v>
      </c>
      <c r="E35" s="10" t="s">
        <v>328</v>
      </c>
    </row>
    <row r="36" customFormat="false" ht="23.85" hidden="false" customHeight="false" outlineLevel="0" collapsed="false">
      <c r="A36" s="10" t="s">
        <v>329</v>
      </c>
      <c r="B36" s="10" t="s">
        <v>321</v>
      </c>
      <c r="C36" s="10" t="s">
        <v>331</v>
      </c>
      <c r="D36" s="10" t="s">
        <v>413</v>
      </c>
      <c r="E36" s="10" t="s">
        <v>328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0"/>
    <col collapsed="false" customWidth="true" hidden="false" outlineLevel="0" max="4" min="4" style="0" width="50"/>
  </cols>
  <sheetData>
    <row r="1" customFormat="false" ht="17.15" hidden="false" customHeight="false" outlineLevel="0" collapsed="false">
      <c r="A1" s="7" t="s">
        <v>414</v>
      </c>
    </row>
    <row r="3" customFormat="false" ht="15" hidden="false" customHeight="false" outlineLevel="0" collapsed="false">
      <c r="A3" s="9" t="s">
        <v>415</v>
      </c>
      <c r="B3" s="9" t="s">
        <v>416</v>
      </c>
      <c r="C3" s="9" t="s">
        <v>417</v>
      </c>
      <c r="D3" s="9" t="s">
        <v>234</v>
      </c>
    </row>
    <row r="4" customFormat="false" ht="23.85" hidden="false" customHeight="false" outlineLevel="0" collapsed="false">
      <c r="A4" s="10" t="s">
        <v>418</v>
      </c>
      <c r="B4" s="10" t="s">
        <v>419</v>
      </c>
      <c r="C4" s="10" t="s">
        <v>420</v>
      </c>
      <c r="D4" s="10" t="s">
        <v>421</v>
      </c>
    </row>
    <row r="5" customFormat="false" ht="23.85" hidden="false" customHeight="false" outlineLevel="0" collapsed="false">
      <c r="A5" s="10" t="s">
        <v>422</v>
      </c>
      <c r="B5" s="10" t="s">
        <v>423</v>
      </c>
      <c r="C5" s="10" t="s">
        <v>424</v>
      </c>
      <c r="D5" s="10" t="s">
        <v>425</v>
      </c>
    </row>
    <row r="6" customFormat="false" ht="15" hidden="false" customHeight="false" outlineLevel="0" collapsed="false">
      <c r="A6" s="10" t="s">
        <v>426</v>
      </c>
      <c r="B6" s="10" t="s">
        <v>427</v>
      </c>
      <c r="C6" s="10" t="s">
        <v>428</v>
      </c>
      <c r="D6" s="10" t="s">
        <v>429</v>
      </c>
    </row>
    <row r="7" customFormat="false" ht="15" hidden="false" customHeight="false" outlineLevel="0" collapsed="false">
      <c r="A7" s="10" t="s">
        <v>430</v>
      </c>
      <c r="B7" s="10" t="s">
        <v>431</v>
      </c>
      <c r="C7" s="10" t="s">
        <v>432</v>
      </c>
      <c r="D7" s="10" t="s">
        <v>433</v>
      </c>
    </row>
    <row r="8" customFormat="false" ht="35.05" hidden="false" customHeight="false" outlineLevel="0" collapsed="false">
      <c r="A8" s="10" t="s">
        <v>434</v>
      </c>
      <c r="B8" s="10" t="s">
        <v>435</v>
      </c>
      <c r="C8" s="10" t="s">
        <v>436</v>
      </c>
      <c r="D8" s="10" t="s">
        <v>437</v>
      </c>
    </row>
    <row r="9" customFormat="false" ht="15" hidden="false" customHeight="false" outlineLevel="0" collapsed="false">
      <c r="A9" s="10" t="s">
        <v>438</v>
      </c>
      <c r="B9" s="10" t="s">
        <v>439</v>
      </c>
      <c r="C9" s="10" t="s">
        <v>440</v>
      </c>
      <c r="D9" s="10" t="s">
        <v>441</v>
      </c>
    </row>
    <row r="10" customFormat="false" ht="15" hidden="false" customHeight="false" outlineLevel="0" collapsed="false">
      <c r="A10" s="10" t="s">
        <v>442</v>
      </c>
      <c r="B10" s="10" t="s">
        <v>443</v>
      </c>
      <c r="C10" s="10" t="s">
        <v>444</v>
      </c>
      <c r="D10" s="10" t="s">
        <v>445</v>
      </c>
    </row>
    <row r="11" customFormat="false" ht="15" hidden="false" customHeight="false" outlineLevel="0" collapsed="false">
      <c r="A11" s="10" t="s">
        <v>446</v>
      </c>
      <c r="B11" s="10" t="s">
        <v>447</v>
      </c>
      <c r="C11" s="10" t="s">
        <v>448</v>
      </c>
      <c r="D11" s="10" t="s">
        <v>449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80"/>
    <col collapsed="false" customWidth="true" hidden="false" outlineLevel="0" max="4" min="4" style="0" width="18"/>
  </cols>
  <sheetData>
    <row r="1" customFormat="false" ht="17.15" hidden="false" customHeight="false" outlineLevel="0" collapsed="false">
      <c r="A1" s="7" t="s">
        <v>450</v>
      </c>
    </row>
    <row r="2" customFormat="false" ht="45" hidden="false" customHeight="true" outlineLevel="0" collapsed="false">
      <c r="A2" s="8" t="s">
        <v>451</v>
      </c>
      <c r="B2" s="8"/>
      <c r="C2" s="8"/>
      <c r="D2" s="8"/>
    </row>
    <row r="4" customFormat="false" ht="15" hidden="false" customHeight="false" outlineLevel="0" collapsed="false">
      <c r="A4" s="9" t="s">
        <v>415</v>
      </c>
      <c r="B4" s="9" t="s">
        <v>416</v>
      </c>
      <c r="C4" s="9" t="s">
        <v>417</v>
      </c>
      <c r="D4" s="9" t="s">
        <v>452</v>
      </c>
    </row>
    <row r="5" customFormat="false" ht="23.85" hidden="false" customHeight="false" outlineLevel="0" collapsed="false">
      <c r="A5" s="10" t="s">
        <v>418</v>
      </c>
      <c r="B5" s="10" t="s">
        <v>453</v>
      </c>
      <c r="C5" s="10" t="s">
        <v>454</v>
      </c>
      <c r="D5" s="10" t="s">
        <v>455</v>
      </c>
    </row>
    <row r="6" customFormat="false" ht="23.85" hidden="false" customHeight="false" outlineLevel="0" collapsed="false">
      <c r="A6" s="10" t="s">
        <v>426</v>
      </c>
      <c r="B6" s="10" t="s">
        <v>456</v>
      </c>
      <c r="C6" s="10" t="s">
        <v>457</v>
      </c>
      <c r="D6" s="10" t="s">
        <v>458</v>
      </c>
    </row>
    <row r="7" customFormat="false" ht="15" hidden="false" customHeight="false" outlineLevel="0" collapsed="false">
      <c r="A7" s="10" t="s">
        <v>430</v>
      </c>
      <c r="B7" s="10" t="s">
        <v>459</v>
      </c>
      <c r="C7" s="10" t="s">
        <v>460</v>
      </c>
      <c r="D7" s="10" t="s">
        <v>458</v>
      </c>
    </row>
    <row r="8" customFormat="false" ht="15" hidden="false" customHeight="false" outlineLevel="0" collapsed="false">
      <c r="A8" s="10" t="s">
        <v>434</v>
      </c>
      <c r="B8" s="10" t="s">
        <v>461</v>
      </c>
      <c r="C8" s="10" t="s">
        <v>462</v>
      </c>
      <c r="D8" s="10" t="s">
        <v>458</v>
      </c>
    </row>
    <row r="9" customFormat="false" ht="15" hidden="false" customHeight="false" outlineLevel="0" collapsed="false">
      <c r="A9" s="10" t="s">
        <v>438</v>
      </c>
      <c r="B9" s="10" t="s">
        <v>463</v>
      </c>
      <c r="C9" s="10" t="s">
        <v>464</v>
      </c>
      <c r="D9" s="10" t="s">
        <v>458</v>
      </c>
    </row>
    <row r="10" customFormat="false" ht="23.85" hidden="false" customHeight="false" outlineLevel="0" collapsed="false">
      <c r="A10" s="10" t="s">
        <v>442</v>
      </c>
      <c r="B10" s="10" t="s">
        <v>465</v>
      </c>
      <c r="C10" s="10" t="s">
        <v>466</v>
      </c>
      <c r="D10" s="10" t="s">
        <v>458</v>
      </c>
    </row>
    <row r="11" customFormat="false" ht="15" hidden="false" customHeight="false" outlineLevel="0" collapsed="false">
      <c r="A11" s="10" t="s">
        <v>446</v>
      </c>
      <c r="B11" s="10" t="s">
        <v>467</v>
      </c>
      <c r="C11" s="10" t="s">
        <v>468</v>
      </c>
      <c r="D11" s="10" t="s">
        <v>150</v>
      </c>
    </row>
    <row r="12" customFormat="false" ht="23.85" hidden="false" customHeight="false" outlineLevel="0" collapsed="false">
      <c r="A12" s="10" t="s">
        <v>469</v>
      </c>
      <c r="B12" s="10" t="s">
        <v>470</v>
      </c>
      <c r="C12" s="10" t="s">
        <v>471</v>
      </c>
      <c r="D12" s="10" t="s">
        <v>458</v>
      </c>
    </row>
    <row r="13" customFormat="false" ht="23.85" hidden="false" customHeight="false" outlineLevel="0" collapsed="false">
      <c r="A13" s="10" t="s">
        <v>472</v>
      </c>
      <c r="B13" s="10" t="s">
        <v>473</v>
      </c>
      <c r="C13" s="10" t="s">
        <v>474</v>
      </c>
      <c r="D13" s="10" t="s">
        <v>458</v>
      </c>
    </row>
    <row r="14" customFormat="false" ht="23.85" hidden="false" customHeight="false" outlineLevel="0" collapsed="false">
      <c r="A14" s="10" t="s">
        <v>475</v>
      </c>
      <c r="B14" s="10" t="s">
        <v>476</v>
      </c>
      <c r="C14" s="10" t="s">
        <v>477</v>
      </c>
      <c r="D14" s="10" t="s">
        <v>458</v>
      </c>
    </row>
    <row r="15" customFormat="false" ht="23.85" hidden="false" customHeight="false" outlineLevel="0" collapsed="false">
      <c r="A15" s="10" t="s">
        <v>478</v>
      </c>
      <c r="B15" s="10" t="s">
        <v>479</v>
      </c>
      <c r="C15" s="10" t="s">
        <v>480</v>
      </c>
      <c r="D15" s="10" t="s">
        <v>481</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14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7" t="s">
        <v>482</v>
      </c>
    </row>
    <row r="2" customFormat="false" ht="34.5" hidden="false" customHeight="true" outlineLevel="0" collapsed="false">
      <c r="A2" s="8" t="s">
        <v>483</v>
      </c>
      <c r="B2" s="8"/>
      <c r="C2" s="8"/>
      <c r="D2" s="8"/>
      <c r="E2" s="8"/>
    </row>
    <row r="4" customFormat="false" ht="15" hidden="false" customHeight="false" outlineLevel="0" collapsed="false">
      <c r="A4" s="34" t="s">
        <v>484</v>
      </c>
    </row>
    <row r="5" customFormat="false" ht="15" hidden="false" customHeight="false" outlineLevel="0" collapsed="false">
      <c r="A5" s="9" t="s">
        <v>312</v>
      </c>
      <c r="B5" s="9" t="s">
        <v>485</v>
      </c>
      <c r="C5" s="9" t="s">
        <v>486</v>
      </c>
      <c r="D5" s="9" t="s">
        <v>487</v>
      </c>
      <c r="E5" s="9" t="s">
        <v>234</v>
      </c>
    </row>
    <row r="6" customFormat="false" ht="15" hidden="false" customHeight="false" outlineLevel="0" collapsed="false">
      <c r="A6" s="10" t="s">
        <v>488</v>
      </c>
      <c r="B6" s="10" t="s">
        <v>489</v>
      </c>
      <c r="C6" s="35" t="n">
        <f aca="false">LEN(B6)</f>
        <v>27</v>
      </c>
      <c r="D6" s="35" t="str">
        <f aca="false">IF(C6&lt;=30,"✓","تجاوز")</f>
        <v>✓</v>
      </c>
      <c r="E6" s="10" t="s">
        <v>490</v>
      </c>
    </row>
    <row r="7" customFormat="false" ht="15" hidden="false" customHeight="false" outlineLevel="0" collapsed="false">
      <c r="A7" s="10" t="s">
        <v>350</v>
      </c>
      <c r="B7" s="10" t="s">
        <v>491</v>
      </c>
      <c r="C7" s="35" t="n">
        <f aca="false">LEN(B7)</f>
        <v>25</v>
      </c>
      <c r="D7" s="35" t="str">
        <f aca="false">IF(C7&lt;=30,"✓","تجاوز")</f>
        <v>✓</v>
      </c>
      <c r="E7" s="10"/>
    </row>
    <row r="8" customFormat="false" ht="15" hidden="false" customHeight="false" outlineLevel="0" collapsed="false">
      <c r="A8" s="10" t="s">
        <v>492</v>
      </c>
      <c r="B8" s="10" t="s">
        <v>493</v>
      </c>
      <c r="C8" s="35" t="n">
        <f aca="false">LEN(B8)</f>
        <v>24</v>
      </c>
      <c r="D8" s="35" t="str">
        <f aca="false">IF(C8&lt;=30,"✓","تجاوز")</f>
        <v>✓</v>
      </c>
      <c r="E8" s="10"/>
    </row>
    <row r="9" customFormat="false" ht="15" hidden="false" customHeight="false" outlineLevel="0" collapsed="false">
      <c r="A9" s="10" t="s">
        <v>494</v>
      </c>
      <c r="B9" s="10" t="s">
        <v>495</v>
      </c>
      <c r="C9" s="35" t="n">
        <f aca="false">LEN(B9)</f>
        <v>20</v>
      </c>
      <c r="D9" s="35" t="str">
        <f aca="false">IF(C9&lt;=30,"✓","تجاوز")</f>
        <v>✓</v>
      </c>
      <c r="E9" s="10"/>
    </row>
    <row r="10" customFormat="false" ht="15" hidden="false" customHeight="false" outlineLevel="0" collapsed="false">
      <c r="A10" s="10" t="s">
        <v>496</v>
      </c>
      <c r="B10" s="10" t="s">
        <v>497</v>
      </c>
      <c r="C10" s="35" t="n">
        <f aca="false">LEN(B10)</f>
        <v>24</v>
      </c>
      <c r="D10" s="35" t="str">
        <f aca="false">IF(C10&lt;=30,"✓","تجاوز")</f>
        <v>✓</v>
      </c>
      <c r="E10" s="10"/>
    </row>
    <row r="11" customFormat="false" ht="15" hidden="false" customHeight="false" outlineLevel="0" collapsed="false">
      <c r="A11" s="10" t="s">
        <v>498</v>
      </c>
      <c r="B11" s="10" t="s">
        <v>499</v>
      </c>
      <c r="C11" s="35" t="n">
        <f aca="false">LEN(B11)</f>
        <v>21</v>
      </c>
      <c r="D11" s="35" t="str">
        <f aca="false">IF(C11&lt;=30,"✓","تجاوز")</f>
        <v>✓</v>
      </c>
      <c r="E11" s="10"/>
    </row>
    <row r="12" customFormat="false" ht="15" hidden="false" customHeight="false" outlineLevel="0" collapsed="false">
      <c r="A12" s="10" t="s">
        <v>405</v>
      </c>
      <c r="B12" s="10" t="s">
        <v>500</v>
      </c>
      <c r="C12" s="35" t="n">
        <f aca="false">LEN(B12)</f>
        <v>21</v>
      </c>
      <c r="D12" s="35" t="str">
        <f aca="false">IF(C12&lt;=30,"✓","تجاوز")</f>
        <v>✓</v>
      </c>
      <c r="E12" s="10"/>
    </row>
    <row r="13" customFormat="false" ht="15" hidden="false" customHeight="false" outlineLevel="0" collapsed="false">
      <c r="A13" s="10" t="s">
        <v>501</v>
      </c>
      <c r="B13" s="10" t="s">
        <v>502</v>
      </c>
      <c r="C13" s="35" t="n">
        <f aca="false">LEN(B13)</f>
        <v>22</v>
      </c>
      <c r="D13" s="35" t="str">
        <f aca="false">IF(C13&lt;=30,"✓","تجاوز")</f>
        <v>✓</v>
      </c>
      <c r="E13" s="10"/>
    </row>
    <row r="14" customFormat="false" ht="15" hidden="false" customHeight="false" outlineLevel="0" collapsed="false">
      <c r="A14" s="10" t="s">
        <v>503</v>
      </c>
      <c r="B14" s="10" t="s">
        <v>504</v>
      </c>
      <c r="C14" s="35" t="n">
        <f aca="false">LEN(B14)</f>
        <v>18</v>
      </c>
      <c r="D14" s="35" t="str">
        <f aca="false">IF(C14&lt;=30,"✓","تجاوز")</f>
        <v>✓</v>
      </c>
      <c r="E14" s="10"/>
    </row>
    <row r="15" customFormat="false" ht="15" hidden="false" customHeight="false" outlineLevel="0" collapsed="false">
      <c r="A15" s="10" t="s">
        <v>505</v>
      </c>
      <c r="B15" s="10" t="s">
        <v>506</v>
      </c>
      <c r="C15" s="35" t="n">
        <f aca="false">LEN(B15)</f>
        <v>24</v>
      </c>
      <c r="D15" s="35" t="str">
        <f aca="false">IF(C15&lt;=30,"✓","تجاوز")</f>
        <v>✓</v>
      </c>
      <c r="E15" s="10"/>
    </row>
    <row r="16" customFormat="false" ht="15" hidden="false" customHeight="false" outlineLevel="0" collapsed="false">
      <c r="A16" s="10" t="s">
        <v>507</v>
      </c>
      <c r="B16" s="10" t="s">
        <v>508</v>
      </c>
      <c r="C16" s="35" t="n">
        <f aca="false">LEN(B16)</f>
        <v>22</v>
      </c>
      <c r="D16" s="35" t="str">
        <f aca="false">IF(C16&lt;=30,"✓","تجاوز")</f>
        <v>✓</v>
      </c>
      <c r="E16" s="10"/>
    </row>
    <row r="17" customFormat="false" ht="15" hidden="false" customHeight="false" outlineLevel="0" collapsed="false">
      <c r="A17" s="10" t="s">
        <v>317</v>
      </c>
      <c r="B17" s="10" t="s">
        <v>319</v>
      </c>
      <c r="C17" s="35" t="n">
        <f aca="false">LEN(B17)</f>
        <v>26</v>
      </c>
      <c r="D17" s="35" t="str">
        <f aca="false">IF(C17&lt;=30,"✓","تجاوز")</f>
        <v>✓</v>
      </c>
      <c r="E17" s="10"/>
    </row>
    <row r="18" customFormat="false" ht="15" hidden="false" customHeight="false" outlineLevel="0" collapsed="false">
      <c r="A18" s="10" t="s">
        <v>509</v>
      </c>
      <c r="B18" s="10" t="s">
        <v>510</v>
      </c>
      <c r="C18" s="35" t="n">
        <f aca="false">LEN(B18)</f>
        <v>22</v>
      </c>
      <c r="D18" s="35" t="str">
        <f aca="false">IF(C18&lt;=30,"✓","تجاوز")</f>
        <v>✓</v>
      </c>
      <c r="E18" s="10"/>
    </row>
    <row r="19" customFormat="false" ht="15" hidden="false" customHeight="false" outlineLevel="0" collapsed="false">
      <c r="A19" s="10" t="s">
        <v>401</v>
      </c>
      <c r="B19" s="10" t="s">
        <v>403</v>
      </c>
      <c r="C19" s="35" t="n">
        <f aca="false">LEN(B19)</f>
        <v>24</v>
      </c>
      <c r="D19" s="35" t="str">
        <f aca="false">IF(C19&lt;=30,"✓","تجاوز")</f>
        <v>✓</v>
      </c>
      <c r="E19" s="10"/>
    </row>
    <row r="20" customFormat="false" ht="15" hidden="false" customHeight="false" outlineLevel="0" collapsed="false">
      <c r="A20" s="10" t="s">
        <v>511</v>
      </c>
      <c r="B20" s="10" t="s">
        <v>512</v>
      </c>
      <c r="C20" s="35" t="n">
        <f aca="false">LEN(B20)</f>
        <v>14</v>
      </c>
      <c r="D20" s="35" t="str">
        <f aca="false">IF(C20&lt;=30,"✓","تجاوز")</f>
        <v>✓</v>
      </c>
      <c r="E20" s="10"/>
    </row>
    <row r="22" customFormat="false" ht="15" hidden="false" customHeight="false" outlineLevel="0" collapsed="false">
      <c r="A22" s="34" t="s">
        <v>513</v>
      </c>
    </row>
    <row r="23" customFormat="false" ht="15" hidden="false" customHeight="false" outlineLevel="0" collapsed="false">
      <c r="A23" s="9" t="s">
        <v>312</v>
      </c>
      <c r="B23" s="9" t="s">
        <v>485</v>
      </c>
      <c r="C23" s="9" t="s">
        <v>486</v>
      </c>
      <c r="D23" s="9" t="s">
        <v>514</v>
      </c>
      <c r="E23" s="9" t="s">
        <v>234</v>
      </c>
    </row>
    <row r="24" customFormat="false" ht="15" hidden="false" customHeight="false" outlineLevel="0" collapsed="false">
      <c r="A24" s="10" t="s">
        <v>354</v>
      </c>
      <c r="B24" s="10" t="s">
        <v>515</v>
      </c>
      <c r="C24" s="35" t="n">
        <f aca="false">LEN(B24)</f>
        <v>73</v>
      </c>
      <c r="D24" s="35" t="str">
        <f aca="false">IF(C24&lt;=90,"✓","تجاوز")</f>
        <v>✓</v>
      </c>
      <c r="E24" s="10"/>
    </row>
    <row r="25" customFormat="false" ht="15" hidden="false" customHeight="false" outlineLevel="0" collapsed="false">
      <c r="A25" s="10" t="s">
        <v>516</v>
      </c>
      <c r="B25" s="10" t="s">
        <v>517</v>
      </c>
      <c r="C25" s="35" t="n">
        <f aca="false">LEN(B25)</f>
        <v>74</v>
      </c>
      <c r="D25" s="35" t="str">
        <f aca="false">IF(C25&lt;=90,"✓","تجاوز")</f>
        <v>✓</v>
      </c>
      <c r="E25" s="10"/>
    </row>
    <row r="26" customFormat="false" ht="15" hidden="false" customHeight="false" outlineLevel="0" collapsed="false">
      <c r="A26" s="10" t="s">
        <v>358</v>
      </c>
      <c r="B26" s="10" t="s">
        <v>518</v>
      </c>
      <c r="C26" s="35" t="n">
        <f aca="false">LEN(B26)</f>
        <v>84</v>
      </c>
      <c r="D26" s="35" t="str">
        <f aca="false">IF(C26&lt;=90,"✓","تجاوز")</f>
        <v>✓</v>
      </c>
      <c r="E26" s="10"/>
    </row>
    <row r="27" customFormat="false" ht="15" hidden="false" customHeight="false" outlineLevel="0" collapsed="false">
      <c r="A27" s="10" t="s">
        <v>388</v>
      </c>
      <c r="B27" s="10" t="s">
        <v>519</v>
      </c>
      <c r="C27" s="35" t="n">
        <f aca="false">LEN(B27)</f>
        <v>71</v>
      </c>
      <c r="D27" s="35" t="str">
        <f aca="false">IF(C27&lt;=90,"✓","تجاوز")</f>
        <v>✓</v>
      </c>
      <c r="E27" s="10"/>
    </row>
    <row r="29" customFormat="false" ht="15" hidden="false" customHeight="false" outlineLevel="0" collapsed="false">
      <c r="A29" s="34" t="s">
        <v>520</v>
      </c>
    </row>
    <row r="30" customFormat="false" ht="15" hidden="false" customHeight="false" outlineLevel="0" collapsed="false">
      <c r="A30" s="9" t="s">
        <v>157</v>
      </c>
      <c r="B30" s="9" t="s">
        <v>485</v>
      </c>
      <c r="C30" s="9" t="s">
        <v>486</v>
      </c>
      <c r="D30" s="9" t="s">
        <v>487</v>
      </c>
      <c r="E30" s="9" t="s">
        <v>234</v>
      </c>
    </row>
    <row r="31" customFormat="false" ht="15" hidden="false" customHeight="false" outlineLevel="0" collapsed="false">
      <c r="A31" s="10" t="s">
        <v>521</v>
      </c>
      <c r="B31" s="10" t="s">
        <v>522</v>
      </c>
      <c r="C31" s="35" t="n">
        <f aca="false">LEN(B31)</f>
        <v>19</v>
      </c>
      <c r="D31" s="35" t="str">
        <f aca="false">IF(C31&lt;=30,"✓","تجاوز")</f>
        <v>✓</v>
      </c>
      <c r="E31" s="10" t="s">
        <v>523</v>
      </c>
    </row>
    <row r="32" customFormat="false" ht="15" hidden="false" customHeight="false" outlineLevel="0" collapsed="false">
      <c r="A32" s="10" t="s">
        <v>524</v>
      </c>
      <c r="B32" s="10" t="s">
        <v>525</v>
      </c>
      <c r="C32" s="35" t="n">
        <f aca="false">LEN(B32)</f>
        <v>25</v>
      </c>
      <c r="D32" s="35" t="str">
        <f aca="false">IF(C32&lt;=30,"✓","تجاوز")</f>
        <v>✓</v>
      </c>
      <c r="E32" s="10" t="s">
        <v>523</v>
      </c>
    </row>
    <row r="33" customFormat="false" ht="15" hidden="false" customHeight="false" outlineLevel="0" collapsed="false">
      <c r="A33" s="10" t="s">
        <v>526</v>
      </c>
      <c r="B33" s="10" t="s">
        <v>527</v>
      </c>
      <c r="C33" s="35" t="n">
        <f aca="false">LEN(B33)</f>
        <v>21</v>
      </c>
      <c r="D33" s="35" t="str">
        <f aca="false">IF(C33&lt;=30,"✓","تجاوز")</f>
        <v>✓</v>
      </c>
      <c r="E33" s="10" t="s">
        <v>523</v>
      </c>
    </row>
    <row r="34" customFormat="false" ht="15" hidden="false" customHeight="false" outlineLevel="0" collapsed="false">
      <c r="A34" s="10" t="s">
        <v>528</v>
      </c>
      <c r="B34" s="10" t="s">
        <v>529</v>
      </c>
      <c r="C34" s="35" t="n">
        <f aca="false">LEN(B34)</f>
        <v>21</v>
      </c>
      <c r="D34" s="35" t="str">
        <f aca="false">IF(C34&lt;=30,"✓","تجاوز")</f>
        <v>✓</v>
      </c>
      <c r="E34" s="10" t="s">
        <v>523</v>
      </c>
    </row>
    <row r="35" customFormat="false" ht="15" hidden="false" customHeight="false" outlineLevel="0" collapsed="false">
      <c r="A35" s="10" t="s">
        <v>530</v>
      </c>
      <c r="B35" s="10" t="s">
        <v>531</v>
      </c>
      <c r="C35" s="35" t="n">
        <f aca="false">LEN(B35)</f>
        <v>23</v>
      </c>
      <c r="D35" s="35" t="str">
        <f aca="false">IF(C35&lt;=30,"✓","تجاوز")</f>
        <v>✓</v>
      </c>
      <c r="E35" s="10" t="s">
        <v>523</v>
      </c>
    </row>
    <row r="36" customFormat="false" ht="15" hidden="false" customHeight="false" outlineLevel="0" collapsed="false">
      <c r="A36" s="10" t="s">
        <v>532</v>
      </c>
      <c r="B36" s="10" t="s">
        <v>533</v>
      </c>
      <c r="C36" s="35" t="n">
        <f aca="false">LEN(B36)</f>
        <v>26</v>
      </c>
      <c r="D36" s="35" t="str">
        <f aca="false">IF(C36&lt;=30,"✓","تجاوز")</f>
        <v>✓</v>
      </c>
      <c r="E36" s="10" t="s">
        <v>523</v>
      </c>
    </row>
    <row r="37" customFormat="false" ht="15" hidden="false" customHeight="false" outlineLevel="0" collapsed="false">
      <c r="A37" s="10" t="s">
        <v>534</v>
      </c>
      <c r="B37" s="10" t="s">
        <v>348</v>
      </c>
      <c r="C37" s="35" t="n">
        <f aca="false">LEN(B37)</f>
        <v>25</v>
      </c>
      <c r="D37" s="35" t="str">
        <f aca="false">IF(C37&lt;=30,"✓","تجاوز")</f>
        <v>✓</v>
      </c>
      <c r="E37" s="10" t="s">
        <v>523</v>
      </c>
    </row>
    <row r="38" customFormat="false" ht="15" hidden="false" customHeight="false" outlineLevel="0" collapsed="false">
      <c r="A38" s="10" t="s">
        <v>535</v>
      </c>
      <c r="B38" s="10" t="s">
        <v>536</v>
      </c>
      <c r="C38" s="35" t="n">
        <f aca="false">LEN(B38)</f>
        <v>18</v>
      </c>
      <c r="D38" s="35" t="str">
        <f aca="false">IF(C38&lt;=30,"✓","تجاوز")</f>
        <v>✓</v>
      </c>
      <c r="E38" s="10" t="s">
        <v>523</v>
      </c>
    </row>
    <row r="39" customFormat="false" ht="15" hidden="false" customHeight="false" outlineLevel="0" collapsed="false">
      <c r="A39" s="10" t="s">
        <v>537</v>
      </c>
      <c r="B39" s="10" t="s">
        <v>538</v>
      </c>
      <c r="C39" s="35" t="n">
        <f aca="false">LEN(B39)</f>
        <v>23</v>
      </c>
      <c r="D39" s="35" t="str">
        <f aca="false">IF(C39&lt;=30,"✓","تجاوز")</f>
        <v>✓</v>
      </c>
      <c r="E39" s="10" t="s">
        <v>523</v>
      </c>
    </row>
    <row r="40" customFormat="false" ht="15" hidden="false" customHeight="false" outlineLevel="0" collapsed="false">
      <c r="A40" s="10" t="s">
        <v>539</v>
      </c>
      <c r="B40" s="10" t="s">
        <v>271</v>
      </c>
      <c r="C40" s="35" t="n">
        <f aca="false">LEN(B40)</f>
        <v>26</v>
      </c>
      <c r="D40" s="35" t="str">
        <f aca="false">IF(C40&lt;=30,"✓","تجاوز")</f>
        <v>✓</v>
      </c>
      <c r="E40" s="10" t="s">
        <v>523</v>
      </c>
    </row>
    <row r="41" customFormat="false" ht="15" hidden="false" customHeight="false" outlineLevel="0" collapsed="false">
      <c r="A41" s="10" t="s">
        <v>540</v>
      </c>
      <c r="B41" s="10" t="s">
        <v>541</v>
      </c>
      <c r="C41" s="35" t="n">
        <f aca="false">LEN(B41)</f>
        <v>22</v>
      </c>
      <c r="D41" s="35" t="str">
        <f aca="false">IF(C41&lt;=30,"✓","تجاوز")</f>
        <v>✓</v>
      </c>
      <c r="E41" s="10" t="s">
        <v>523</v>
      </c>
    </row>
    <row r="42" customFormat="false" ht="15" hidden="false" customHeight="false" outlineLevel="0" collapsed="false">
      <c r="A42" s="10" t="s">
        <v>542</v>
      </c>
      <c r="B42" s="10" t="s">
        <v>543</v>
      </c>
      <c r="C42" s="35" t="n">
        <f aca="false">LEN(B42)</f>
        <v>19</v>
      </c>
      <c r="D42" s="35" t="str">
        <f aca="false">IF(C42&lt;=30,"✓","تجاوز")</f>
        <v>✓</v>
      </c>
      <c r="E42" s="10" t="s">
        <v>523</v>
      </c>
    </row>
    <row r="43" customFormat="false" ht="15" hidden="false" customHeight="false" outlineLevel="0" collapsed="false">
      <c r="A43" s="10" t="s">
        <v>544</v>
      </c>
      <c r="B43" s="10" t="s">
        <v>545</v>
      </c>
      <c r="C43" s="35" t="n">
        <f aca="false">LEN(B43)</f>
        <v>18</v>
      </c>
      <c r="D43" s="35" t="str">
        <f aca="false">IF(C43&lt;=30,"✓","تجاوز")</f>
        <v>✓</v>
      </c>
      <c r="E43" s="10" t="s">
        <v>523</v>
      </c>
    </row>
    <row r="44" customFormat="false" ht="15" hidden="false" customHeight="false" outlineLevel="0" collapsed="false">
      <c r="A44" s="10" t="s">
        <v>546</v>
      </c>
      <c r="B44" s="10" t="s">
        <v>547</v>
      </c>
      <c r="C44" s="35" t="n">
        <f aca="false">LEN(B44)</f>
        <v>26</v>
      </c>
      <c r="D44" s="35" t="str">
        <f aca="false">IF(C44&lt;=30,"✓","تجاوز")</f>
        <v>✓</v>
      </c>
      <c r="E44" s="10" t="s">
        <v>523</v>
      </c>
    </row>
    <row r="45" customFormat="false" ht="15" hidden="false" customHeight="false" outlineLevel="0" collapsed="false">
      <c r="A45" s="10" t="s">
        <v>548</v>
      </c>
      <c r="B45" s="10" t="s">
        <v>549</v>
      </c>
      <c r="C45" s="35" t="n">
        <f aca="false">LEN(B45)</f>
        <v>25</v>
      </c>
      <c r="D45" s="35" t="str">
        <f aca="false">IF(C45&lt;=30,"✓","تجاوز")</f>
        <v>✓</v>
      </c>
      <c r="E45" s="10" t="s">
        <v>523</v>
      </c>
    </row>
    <row r="46" customFormat="false" ht="15" hidden="false" customHeight="false" outlineLevel="0" collapsed="false">
      <c r="A46" s="10" t="s">
        <v>550</v>
      </c>
      <c r="B46" s="10" t="s">
        <v>551</v>
      </c>
      <c r="C46" s="35" t="n">
        <f aca="false">LEN(B46)</f>
        <v>19</v>
      </c>
      <c r="D46" s="35" t="str">
        <f aca="false">IF(C46&lt;=30,"✓","تجاوز")</f>
        <v>✓</v>
      </c>
      <c r="E46" s="10" t="s">
        <v>523</v>
      </c>
    </row>
    <row r="47" customFormat="false" ht="15" hidden="false" customHeight="false" outlineLevel="0" collapsed="false">
      <c r="A47" s="10" t="s">
        <v>552</v>
      </c>
      <c r="B47" s="10" t="s">
        <v>403</v>
      </c>
      <c r="C47" s="35" t="n">
        <f aca="false">LEN(B47)</f>
        <v>24</v>
      </c>
      <c r="D47" s="35" t="str">
        <f aca="false">IF(C47&lt;=30,"✓","تجاوز")</f>
        <v>✓</v>
      </c>
      <c r="E47" s="10" t="s">
        <v>523</v>
      </c>
    </row>
    <row r="48" customFormat="false" ht="15" hidden="false" customHeight="false" outlineLevel="0" collapsed="false">
      <c r="A48" s="10" t="s">
        <v>553</v>
      </c>
      <c r="B48" s="10" t="s">
        <v>554</v>
      </c>
      <c r="C48" s="35" t="n">
        <f aca="false">LEN(B48)</f>
        <v>22</v>
      </c>
      <c r="D48" s="35" t="str">
        <f aca="false">IF(C48&lt;=30,"✓","تجاوز")</f>
        <v>✓</v>
      </c>
      <c r="E48" s="10" t="s">
        <v>523</v>
      </c>
    </row>
    <row r="49" customFormat="false" ht="15" hidden="false" customHeight="false" outlineLevel="0" collapsed="false">
      <c r="A49" s="10" t="s">
        <v>555</v>
      </c>
      <c r="B49" s="10" t="s">
        <v>556</v>
      </c>
      <c r="C49" s="35" t="n">
        <f aca="false">LEN(B49)</f>
        <v>22</v>
      </c>
      <c r="D49" s="35" t="str">
        <f aca="false">IF(C49&lt;=30,"✓","تجاوز")</f>
        <v>✓</v>
      </c>
      <c r="E49" s="10" t="s">
        <v>523</v>
      </c>
    </row>
    <row r="51" customFormat="false" ht="15" hidden="false" customHeight="false" outlineLevel="0" collapsed="false">
      <c r="A51" s="34" t="s">
        <v>557</v>
      </c>
    </row>
    <row r="52" customFormat="false" ht="15" hidden="false" customHeight="false" outlineLevel="0" collapsed="false">
      <c r="A52" s="9" t="s">
        <v>157</v>
      </c>
      <c r="B52" s="9" t="s">
        <v>485</v>
      </c>
      <c r="C52" s="9" t="s">
        <v>486</v>
      </c>
      <c r="D52" s="9" t="s">
        <v>514</v>
      </c>
      <c r="E52" s="9" t="s">
        <v>234</v>
      </c>
    </row>
    <row r="53" customFormat="false" ht="15" hidden="false" customHeight="false" outlineLevel="0" collapsed="false">
      <c r="A53" s="10" t="s">
        <v>558</v>
      </c>
      <c r="B53" s="10" t="s">
        <v>559</v>
      </c>
      <c r="C53" s="35" t="n">
        <f aca="false">LEN(B53)</f>
        <v>89</v>
      </c>
      <c r="D53" s="35" t="str">
        <f aca="false">IF(C53&lt;=90,"✓","تجاوز")</f>
        <v>✓</v>
      </c>
      <c r="E53" s="10" t="s">
        <v>560</v>
      </c>
    </row>
    <row r="54" customFormat="false" ht="15" hidden="false" customHeight="false" outlineLevel="0" collapsed="false">
      <c r="A54" s="10" t="s">
        <v>561</v>
      </c>
      <c r="B54" s="10" t="s">
        <v>562</v>
      </c>
      <c r="C54" s="35" t="n">
        <f aca="false">LEN(B54)</f>
        <v>87</v>
      </c>
      <c r="D54" s="35" t="str">
        <f aca="false">IF(C54&lt;=90,"✓","تجاوز")</f>
        <v>✓</v>
      </c>
      <c r="E54" s="10" t="s">
        <v>560</v>
      </c>
    </row>
    <row r="55" customFormat="false" ht="15" hidden="false" customHeight="false" outlineLevel="0" collapsed="false">
      <c r="A55" s="10" t="s">
        <v>563</v>
      </c>
      <c r="B55" s="10" t="s">
        <v>564</v>
      </c>
      <c r="C55" s="35" t="n">
        <f aca="false">LEN(B55)</f>
        <v>90</v>
      </c>
      <c r="D55" s="35" t="str">
        <f aca="false">IF(C55&lt;=90,"✓","تجاوز")</f>
        <v>✓</v>
      </c>
      <c r="E55" s="10" t="s">
        <v>560</v>
      </c>
    </row>
    <row r="56" customFormat="false" ht="15" hidden="false" customHeight="false" outlineLevel="0" collapsed="false">
      <c r="A56" s="10" t="s">
        <v>565</v>
      </c>
      <c r="B56" s="10" t="s">
        <v>566</v>
      </c>
      <c r="C56" s="35" t="n">
        <f aca="false">LEN(B56)</f>
        <v>87</v>
      </c>
      <c r="D56" s="35" t="str">
        <f aca="false">IF(C56&lt;=90,"✓","تجاوز")</f>
        <v>✓</v>
      </c>
      <c r="E56" s="10" t="s">
        <v>560</v>
      </c>
    </row>
    <row r="57" customFormat="false" ht="15" hidden="false" customHeight="false" outlineLevel="0" collapsed="false">
      <c r="A57" s="10" t="s">
        <v>567</v>
      </c>
      <c r="B57" s="10" t="s">
        <v>568</v>
      </c>
      <c r="C57" s="35" t="n">
        <f aca="false">LEN(B57)</f>
        <v>86</v>
      </c>
      <c r="D57" s="35" t="str">
        <f aca="false">IF(C57&lt;=90,"✓","تجاوز")</f>
        <v>✓</v>
      </c>
      <c r="E57" s="10" t="s">
        <v>560</v>
      </c>
    </row>
    <row r="58" customFormat="false" ht="15" hidden="false" customHeight="false" outlineLevel="0" collapsed="false">
      <c r="A58" s="10" t="s">
        <v>569</v>
      </c>
      <c r="B58" s="10" t="s">
        <v>570</v>
      </c>
      <c r="C58" s="35" t="n">
        <f aca="false">LEN(B58)</f>
        <v>89</v>
      </c>
      <c r="D58" s="35" t="str">
        <f aca="false">IF(C58&lt;=90,"✓","تجاوز")</f>
        <v>✓</v>
      </c>
      <c r="E58" s="10" t="s">
        <v>560</v>
      </c>
    </row>
    <row r="60" customFormat="false" ht="15" hidden="false" customHeight="false" outlineLevel="0" collapsed="false">
      <c r="A60" s="34" t="s">
        <v>571</v>
      </c>
    </row>
    <row r="61" customFormat="false" ht="15" hidden="false" customHeight="false" outlineLevel="0" collapsed="false">
      <c r="A61" s="9" t="s">
        <v>312</v>
      </c>
      <c r="B61" s="9" t="s">
        <v>485</v>
      </c>
      <c r="C61" s="9" t="s">
        <v>486</v>
      </c>
      <c r="D61" s="9" t="s">
        <v>487</v>
      </c>
      <c r="E61" s="9" t="s">
        <v>234</v>
      </c>
    </row>
    <row r="62" customFormat="false" ht="15" hidden="false" customHeight="false" outlineLevel="0" collapsed="false">
      <c r="A62" s="10" t="s">
        <v>572</v>
      </c>
      <c r="B62" s="10" t="s">
        <v>573</v>
      </c>
      <c r="C62" s="35" t="n">
        <f aca="false">LEN(B62)</f>
        <v>22</v>
      </c>
      <c r="D62" s="35" t="str">
        <f aca="false">IF(C62&lt;=30,"✓","تجاوز")</f>
        <v>✓</v>
      </c>
      <c r="E62" s="10" t="s">
        <v>574</v>
      </c>
    </row>
    <row r="63" customFormat="false" ht="15" hidden="false" customHeight="false" outlineLevel="0" collapsed="false">
      <c r="A63" s="10" t="s">
        <v>575</v>
      </c>
      <c r="B63" s="10" t="s">
        <v>576</v>
      </c>
      <c r="C63" s="35" t="n">
        <f aca="false">LEN(B63)</f>
        <v>29</v>
      </c>
      <c r="D63" s="35" t="str">
        <f aca="false">IF(C63&lt;=30,"✓","تجاوز")</f>
        <v>✓</v>
      </c>
      <c r="E63" s="10"/>
    </row>
    <row r="64" customFormat="false" ht="15" hidden="false" customHeight="false" outlineLevel="0" collapsed="false">
      <c r="A64" s="10" t="s">
        <v>577</v>
      </c>
      <c r="B64" s="10" t="s">
        <v>578</v>
      </c>
      <c r="C64" s="35" t="n">
        <f aca="false">LEN(B64)</f>
        <v>25</v>
      </c>
      <c r="D64" s="35" t="str">
        <f aca="false">IF(C64&lt;=30,"✓","تجاوز")</f>
        <v>✓</v>
      </c>
      <c r="E64" s="10"/>
    </row>
    <row r="65" customFormat="false" ht="15" hidden="false" customHeight="false" outlineLevel="0" collapsed="false">
      <c r="A65" s="10" t="s">
        <v>579</v>
      </c>
      <c r="B65" s="10" t="s">
        <v>580</v>
      </c>
      <c r="C65" s="35" t="n">
        <f aca="false">LEN(B65)</f>
        <v>24</v>
      </c>
      <c r="D65" s="35" t="str">
        <f aca="false">IF(C65&lt;=30,"✓","تجاوز")</f>
        <v>✓</v>
      </c>
      <c r="E65" s="10"/>
    </row>
    <row r="66" customFormat="false" ht="15" hidden="false" customHeight="false" outlineLevel="0" collapsed="false">
      <c r="A66" s="10" t="s">
        <v>581</v>
      </c>
      <c r="B66" s="10" t="s">
        <v>582</v>
      </c>
      <c r="C66" s="35" t="n">
        <f aca="false">LEN(B66)</f>
        <v>28</v>
      </c>
      <c r="D66" s="35" t="str">
        <f aca="false">IF(C66&lt;=30,"✓","تجاوز")</f>
        <v>✓</v>
      </c>
      <c r="E66" s="10"/>
    </row>
    <row r="67" customFormat="false" ht="15" hidden="false" customHeight="false" outlineLevel="0" collapsed="false">
      <c r="A67" s="10" t="s">
        <v>583</v>
      </c>
      <c r="B67" s="10" t="s">
        <v>584</v>
      </c>
      <c r="C67" s="35" t="n">
        <f aca="false">LEN(B67)</f>
        <v>23</v>
      </c>
      <c r="D67" s="35" t="str">
        <f aca="false">IF(C67&lt;=30,"✓","تجاوز")</f>
        <v>✓</v>
      </c>
      <c r="E67" s="10"/>
    </row>
    <row r="68" customFormat="false" ht="15" hidden="false" customHeight="false" outlineLevel="0" collapsed="false">
      <c r="A68" s="10" t="s">
        <v>585</v>
      </c>
      <c r="B68" s="10" t="s">
        <v>586</v>
      </c>
      <c r="C68" s="35" t="n">
        <f aca="false">LEN(B68)</f>
        <v>18</v>
      </c>
      <c r="D68" s="35" t="str">
        <f aca="false">IF(C68&lt;=30,"✓","تجاوز")</f>
        <v>✓</v>
      </c>
      <c r="E68" s="10"/>
    </row>
    <row r="69" customFormat="false" ht="15" hidden="false" customHeight="false" outlineLevel="0" collapsed="false">
      <c r="A69" s="10" t="s">
        <v>587</v>
      </c>
      <c r="B69" s="10" t="s">
        <v>588</v>
      </c>
      <c r="C69" s="35" t="n">
        <f aca="false">LEN(B69)</f>
        <v>24</v>
      </c>
      <c r="D69" s="35" t="str">
        <f aca="false">IF(C69&lt;=30,"✓","تجاوز")</f>
        <v>✓</v>
      </c>
      <c r="E69" s="10"/>
    </row>
    <row r="70" customFormat="false" ht="15" hidden="false" customHeight="false" outlineLevel="0" collapsed="false">
      <c r="A70" s="10" t="s">
        <v>589</v>
      </c>
      <c r="B70" s="10" t="s">
        <v>334</v>
      </c>
      <c r="C70" s="35" t="n">
        <f aca="false">LEN(B70)</f>
        <v>26</v>
      </c>
      <c r="D70" s="35" t="str">
        <f aca="false">IF(C70&lt;=30,"✓","تجاوز")</f>
        <v>✓</v>
      </c>
      <c r="E70" s="10"/>
    </row>
    <row r="71" customFormat="false" ht="15" hidden="false" customHeight="false" outlineLevel="0" collapsed="false">
      <c r="A71" s="10" t="s">
        <v>590</v>
      </c>
      <c r="B71" s="10" t="s">
        <v>591</v>
      </c>
      <c r="C71" s="35" t="n">
        <f aca="false">LEN(B71)</f>
        <v>25</v>
      </c>
      <c r="D71" s="35" t="str">
        <f aca="false">IF(C71&lt;=30,"✓","تجاوز")</f>
        <v>✓</v>
      </c>
      <c r="E71" s="10"/>
    </row>
    <row r="73" customFormat="false" ht="15" hidden="false" customHeight="false" outlineLevel="0" collapsed="false">
      <c r="A73" s="34" t="s">
        <v>592</v>
      </c>
    </row>
    <row r="74" customFormat="false" ht="15" hidden="false" customHeight="false" outlineLevel="0" collapsed="false">
      <c r="A74" s="9" t="s">
        <v>312</v>
      </c>
      <c r="B74" s="9" t="s">
        <v>485</v>
      </c>
      <c r="C74" s="9" t="s">
        <v>486</v>
      </c>
      <c r="D74" s="9" t="s">
        <v>514</v>
      </c>
      <c r="E74" s="9" t="s">
        <v>234</v>
      </c>
    </row>
    <row r="75" customFormat="false" ht="23.85" hidden="false" customHeight="false" outlineLevel="0" collapsed="false">
      <c r="A75" s="10" t="s">
        <v>593</v>
      </c>
      <c r="B75" s="10" t="s">
        <v>338</v>
      </c>
      <c r="C75" s="35" t="n">
        <f aca="false">LEN(B75)</f>
        <v>88</v>
      </c>
      <c r="D75" s="35" t="str">
        <f aca="false">IF(C75&lt;=90,"✓","تجاوز")</f>
        <v>✓</v>
      </c>
      <c r="E75" s="10"/>
    </row>
    <row r="76" customFormat="false" ht="15" hidden="false" customHeight="false" outlineLevel="0" collapsed="false">
      <c r="A76" s="10" t="s">
        <v>594</v>
      </c>
      <c r="B76" s="10" t="s">
        <v>595</v>
      </c>
      <c r="C76" s="35" t="n">
        <f aca="false">LEN(B76)</f>
        <v>83</v>
      </c>
      <c r="D76" s="35" t="str">
        <f aca="false">IF(C76&lt;=90,"✓","تجاوز")</f>
        <v>✓</v>
      </c>
      <c r="E76" s="10"/>
    </row>
    <row r="77" customFormat="false" ht="15" hidden="false" customHeight="false" outlineLevel="0" collapsed="false">
      <c r="A77" s="10" t="s">
        <v>596</v>
      </c>
      <c r="B77" s="10" t="s">
        <v>597</v>
      </c>
      <c r="C77" s="35" t="n">
        <f aca="false">LEN(B77)</f>
        <v>82</v>
      </c>
      <c r="D77" s="35" t="str">
        <f aca="false">IF(C77&lt;=90,"✓","تجاوز")</f>
        <v>✓</v>
      </c>
      <c r="E77" s="10"/>
    </row>
    <row r="78" customFormat="false" ht="15" hidden="false" customHeight="false" outlineLevel="0" collapsed="false">
      <c r="A78" s="10" t="s">
        <v>598</v>
      </c>
      <c r="B78" s="10" t="s">
        <v>599</v>
      </c>
      <c r="C78" s="35" t="n">
        <f aca="false">LEN(B78)</f>
        <v>75</v>
      </c>
      <c r="D78" s="35" t="str">
        <f aca="false">IF(C78&lt;=90,"✓","تجاوز")</f>
        <v>✓</v>
      </c>
      <c r="E78" s="10"/>
    </row>
    <row r="80" customFormat="false" ht="15" hidden="false" customHeight="false" outlineLevel="0" collapsed="false">
      <c r="A80" s="34" t="s">
        <v>600</v>
      </c>
    </row>
    <row r="81" customFormat="false" ht="15" hidden="false" customHeight="false" outlineLevel="0" collapsed="false">
      <c r="A81" s="9" t="s">
        <v>312</v>
      </c>
      <c r="B81" s="9" t="s">
        <v>485</v>
      </c>
      <c r="C81" s="9" t="s">
        <v>486</v>
      </c>
      <c r="D81" s="9" t="s">
        <v>601</v>
      </c>
      <c r="E81" s="9" t="s">
        <v>234</v>
      </c>
    </row>
    <row r="82" customFormat="false" ht="15" hidden="false" customHeight="false" outlineLevel="0" collapsed="false">
      <c r="A82" s="10" t="s">
        <v>602</v>
      </c>
      <c r="B82" s="10" t="s">
        <v>603</v>
      </c>
      <c r="C82" s="35" t="n">
        <f aca="false">LEN(B82)</f>
        <v>9</v>
      </c>
      <c r="D82" s="35" t="str">
        <f aca="false">IF(C82&lt;=25,"✓","تجاوز")</f>
        <v>✓</v>
      </c>
      <c r="E82" s="10" t="s">
        <v>604</v>
      </c>
    </row>
    <row r="83" customFormat="false" ht="15" hidden="false" customHeight="false" outlineLevel="0" collapsed="false">
      <c r="A83" s="10" t="s">
        <v>605</v>
      </c>
      <c r="B83" s="10" t="s">
        <v>606</v>
      </c>
      <c r="C83" s="35" t="n">
        <f aca="false">LEN(B83)</f>
        <v>14</v>
      </c>
      <c r="D83" s="35" t="str">
        <f aca="false">IF(C83&lt;=25,"✓","تجاوز")</f>
        <v>✓</v>
      </c>
      <c r="E83" s="10" t="s">
        <v>604</v>
      </c>
    </row>
    <row r="84" customFormat="false" ht="15" hidden="false" customHeight="false" outlineLevel="0" collapsed="false">
      <c r="A84" s="10" t="s">
        <v>607</v>
      </c>
      <c r="B84" s="10" t="s">
        <v>504</v>
      </c>
      <c r="C84" s="35" t="n">
        <f aca="false">LEN(B84)</f>
        <v>18</v>
      </c>
      <c r="D84" s="35" t="str">
        <f aca="false">IF(C84&lt;=25,"✓","تجاوز")</f>
        <v>✓</v>
      </c>
      <c r="E84" s="10" t="s">
        <v>604</v>
      </c>
    </row>
    <row r="85" customFormat="false" ht="15" hidden="false" customHeight="false" outlineLevel="0" collapsed="false">
      <c r="A85" s="10" t="s">
        <v>608</v>
      </c>
      <c r="B85" s="10" t="s">
        <v>609</v>
      </c>
      <c r="C85" s="35" t="n">
        <f aca="false">LEN(B85)</f>
        <v>15</v>
      </c>
      <c r="D85" s="35" t="str">
        <f aca="false">IF(C85&lt;=25,"✓","تجاوز")</f>
        <v>✓</v>
      </c>
      <c r="E85" s="10" t="s">
        <v>604</v>
      </c>
    </row>
    <row r="86" customFormat="false" ht="15" hidden="false" customHeight="false" outlineLevel="0" collapsed="false">
      <c r="A86" s="10" t="s">
        <v>610</v>
      </c>
      <c r="B86" s="10" t="s">
        <v>611</v>
      </c>
      <c r="C86" s="35" t="n">
        <f aca="false">LEN(B86)</f>
        <v>17</v>
      </c>
      <c r="D86" s="35" t="str">
        <f aca="false">IF(C86&lt;=25,"✓","تجاوز")</f>
        <v>✓</v>
      </c>
      <c r="E86" s="10" t="s">
        <v>604</v>
      </c>
    </row>
    <row r="87" customFormat="false" ht="15" hidden="false" customHeight="false" outlineLevel="0" collapsed="false">
      <c r="A87" s="10" t="s">
        <v>612</v>
      </c>
      <c r="B87" s="10" t="s">
        <v>613</v>
      </c>
      <c r="C87" s="35" t="n">
        <f aca="false">LEN(B87)</f>
        <v>18</v>
      </c>
      <c r="D87" s="35" t="str">
        <f aca="false">IF(C87&lt;=25,"✓","تجاوز")</f>
        <v>✓</v>
      </c>
      <c r="E87" s="10" t="s">
        <v>604</v>
      </c>
    </row>
    <row r="89" customFormat="false" ht="15" hidden="false" customHeight="false" outlineLevel="0" collapsed="false">
      <c r="A89" s="34" t="s">
        <v>614</v>
      </c>
    </row>
    <row r="90" customFormat="false" ht="15" hidden="false" customHeight="false" outlineLevel="0" collapsed="false">
      <c r="A90" s="9" t="s">
        <v>312</v>
      </c>
      <c r="B90" s="9" t="s">
        <v>485</v>
      </c>
      <c r="C90" s="9" t="s">
        <v>486</v>
      </c>
      <c r="D90" s="9" t="s">
        <v>615</v>
      </c>
      <c r="E90" s="9" t="s">
        <v>234</v>
      </c>
    </row>
    <row r="91" customFormat="false" ht="15" hidden="false" customHeight="false" outlineLevel="0" collapsed="false">
      <c r="A91" s="10" t="s">
        <v>616</v>
      </c>
      <c r="B91" s="10" t="s">
        <v>617</v>
      </c>
      <c r="C91" s="35" t="n">
        <f aca="false">LEN(B91)</f>
        <v>13</v>
      </c>
      <c r="D91" s="35" t="str">
        <f aca="false">IF(C91&lt;=35,"✓","تجاوز")</f>
        <v>✓</v>
      </c>
      <c r="E91" s="10"/>
    </row>
    <row r="92" customFormat="false" ht="15" hidden="false" customHeight="false" outlineLevel="0" collapsed="false">
      <c r="A92" s="10" t="s">
        <v>618</v>
      </c>
      <c r="B92" s="10" t="s">
        <v>619</v>
      </c>
      <c r="C92" s="35" t="n">
        <f aca="false">LEN(B92)</f>
        <v>12</v>
      </c>
      <c r="D92" s="35" t="str">
        <f aca="false">IF(C92&lt;=35,"✓","تجاوز")</f>
        <v>✓</v>
      </c>
      <c r="E92" s="10"/>
    </row>
    <row r="93" customFormat="false" ht="15" hidden="false" customHeight="false" outlineLevel="0" collapsed="false">
      <c r="A93" s="10" t="s">
        <v>620</v>
      </c>
      <c r="B93" s="10" t="s">
        <v>621</v>
      </c>
      <c r="C93" s="35" t="n">
        <f aca="false">LEN(B93)</f>
        <v>10</v>
      </c>
      <c r="D93" s="35" t="str">
        <f aca="false">IF(C93&lt;=35,"✓","تجاوز")</f>
        <v>✓</v>
      </c>
      <c r="E93" s="10"/>
    </row>
    <row r="94" customFormat="false" ht="15" hidden="false" customHeight="false" outlineLevel="0" collapsed="false">
      <c r="A94" s="10" t="s">
        <v>622</v>
      </c>
      <c r="B94" s="10" t="s">
        <v>623</v>
      </c>
      <c r="C94" s="35" t="n">
        <f aca="false">LEN(B94)</f>
        <v>21</v>
      </c>
      <c r="D94" s="35" t="str">
        <f aca="false">IF(C94&lt;=35,"✓","تجاوز")</f>
        <v>✓</v>
      </c>
      <c r="E94" s="10"/>
    </row>
    <row r="95" customFormat="false" ht="15" hidden="false" customHeight="false" outlineLevel="0" collapsed="false">
      <c r="A95" s="10" t="s">
        <v>624</v>
      </c>
      <c r="B95" s="10" t="s">
        <v>625</v>
      </c>
      <c r="C95" s="35" t="n">
        <f aca="false">LEN(B95)</f>
        <v>13</v>
      </c>
      <c r="D95" s="35" t="str">
        <f aca="false">IF(C95&lt;=35,"✓","تجاوز")</f>
        <v>✓</v>
      </c>
      <c r="E95" s="10"/>
    </row>
    <row r="96" customFormat="false" ht="15" hidden="false" customHeight="false" outlineLevel="0" collapsed="false">
      <c r="A96" s="10" t="s">
        <v>626</v>
      </c>
      <c r="B96" s="10" t="s">
        <v>627</v>
      </c>
      <c r="C96" s="35" t="n">
        <f aca="false">LEN(B96)</f>
        <v>10</v>
      </c>
      <c r="D96" s="35" t="str">
        <f aca="false">IF(C96&lt;=35,"✓","تجاوز")</f>
        <v>✓</v>
      </c>
      <c r="E96" s="10"/>
    </row>
    <row r="97" customFormat="false" ht="15" hidden="false" customHeight="false" outlineLevel="0" collapsed="false">
      <c r="A97" s="10" t="s">
        <v>385</v>
      </c>
      <c r="B97" s="10" t="s">
        <v>628</v>
      </c>
      <c r="C97" s="35" t="n">
        <f aca="false">LEN(B97)</f>
        <v>15</v>
      </c>
      <c r="D97" s="35" t="str">
        <f aca="false">IF(C97&lt;=35,"✓","تجاوز")</f>
        <v>✓</v>
      </c>
      <c r="E97" s="10"/>
    </row>
    <row r="98" customFormat="false" ht="15" hidden="false" customHeight="false" outlineLevel="0" collapsed="false">
      <c r="A98" s="10" t="s">
        <v>629</v>
      </c>
      <c r="B98" s="10" t="s">
        <v>630</v>
      </c>
      <c r="C98" s="35" t="n">
        <f aca="false">LEN(B98)</f>
        <v>14</v>
      </c>
      <c r="D98" s="35" t="str">
        <f aca="false">IF(C98&lt;=35,"✓","تجاوز")</f>
        <v>✓</v>
      </c>
      <c r="E98" s="10"/>
    </row>
    <row r="99" customFormat="false" ht="15" hidden="false" customHeight="false" outlineLevel="0" collapsed="false">
      <c r="A99" s="10" t="s">
        <v>631</v>
      </c>
      <c r="B99" s="10" t="s">
        <v>632</v>
      </c>
      <c r="C99" s="35" t="n">
        <f aca="false">LEN(B99)</f>
        <v>7</v>
      </c>
      <c r="D99" s="35" t="str">
        <f aca="false">IF(C99&lt;=35,"✓","تجاوز")</f>
        <v>✓</v>
      </c>
      <c r="E99" s="10"/>
    </row>
    <row r="100" customFormat="false" ht="15" hidden="false" customHeight="false" outlineLevel="0" collapsed="false">
      <c r="A100" s="10" t="s">
        <v>633</v>
      </c>
      <c r="B100" s="10" t="s">
        <v>634</v>
      </c>
      <c r="C100" s="35" t="n">
        <f aca="false">LEN(B100)</f>
        <v>15</v>
      </c>
      <c r="D100" s="35" t="str">
        <f aca="false">IF(C100&lt;=35,"✓","تجاوز")</f>
        <v>✓</v>
      </c>
      <c r="E100" s="10"/>
    </row>
    <row r="101" customFormat="false" ht="15" hidden="false" customHeight="false" outlineLevel="0" collapsed="false">
      <c r="A101" s="10" t="s">
        <v>635</v>
      </c>
      <c r="B101" s="10" t="s">
        <v>636</v>
      </c>
      <c r="C101" s="35" t="n">
        <f aca="false">LEN(B101)</f>
        <v>9</v>
      </c>
      <c r="D101" s="35" t="str">
        <f aca="false">IF(C101&lt;=35,"✓","تجاوز")</f>
        <v>✓</v>
      </c>
      <c r="E101" s="10"/>
    </row>
    <row r="102" customFormat="false" ht="15" hidden="false" customHeight="false" outlineLevel="0" collapsed="false">
      <c r="A102" s="10" t="s">
        <v>637</v>
      </c>
      <c r="B102" s="10" t="s">
        <v>638</v>
      </c>
      <c r="C102" s="35" t="n">
        <f aca="false">LEN(B102)</f>
        <v>14</v>
      </c>
      <c r="D102" s="35" t="str">
        <f aca="false">IF(C102&lt;=35,"✓","تجاوز")</f>
        <v>✓</v>
      </c>
      <c r="E102" s="10"/>
    </row>
    <row r="104" customFormat="false" ht="15" hidden="false" customHeight="false" outlineLevel="0" collapsed="false">
      <c r="A104" s="34" t="s">
        <v>639</v>
      </c>
    </row>
    <row r="105" customFormat="false" ht="15" hidden="false" customHeight="false" outlineLevel="0" collapsed="false">
      <c r="A105" s="9" t="s">
        <v>312</v>
      </c>
      <c r="B105" s="9" t="s">
        <v>485</v>
      </c>
      <c r="C105" s="9" t="s">
        <v>486</v>
      </c>
      <c r="D105" s="9" t="s">
        <v>601</v>
      </c>
      <c r="E105" s="9" t="s">
        <v>234</v>
      </c>
    </row>
    <row r="106" customFormat="false" ht="15" hidden="false" customHeight="false" outlineLevel="0" collapsed="false">
      <c r="A106" s="10" t="s">
        <v>364</v>
      </c>
      <c r="B106" s="10" t="s">
        <v>493</v>
      </c>
      <c r="C106" s="35" t="n">
        <f aca="false">LEN(B106)</f>
        <v>24</v>
      </c>
      <c r="D106" s="35" t="str">
        <f aca="false">IF(C106&lt;=25,"✓","تجاوز")</f>
        <v>✓</v>
      </c>
      <c r="E106" s="10"/>
    </row>
    <row r="107" customFormat="false" ht="15" hidden="false" customHeight="false" outlineLevel="0" collapsed="false">
      <c r="A107" s="10" t="s">
        <v>640</v>
      </c>
      <c r="B107" s="10" t="s">
        <v>495</v>
      </c>
      <c r="C107" s="35" t="n">
        <f aca="false">LEN(B107)</f>
        <v>20</v>
      </c>
      <c r="D107" s="35" t="str">
        <f aca="false">IF(C107&lt;=25,"✓","تجاوز")</f>
        <v>✓</v>
      </c>
      <c r="E107" s="10"/>
    </row>
    <row r="108" customFormat="false" ht="15" hidden="false" customHeight="false" outlineLevel="0" collapsed="false">
      <c r="A108" s="10" t="s">
        <v>641</v>
      </c>
      <c r="B108" s="10" t="s">
        <v>500</v>
      </c>
      <c r="C108" s="35" t="n">
        <f aca="false">LEN(B108)</f>
        <v>21</v>
      </c>
      <c r="D108" s="35" t="str">
        <f aca="false">IF(C108&lt;=25,"✓","تجاوز")</f>
        <v>✓</v>
      </c>
      <c r="E108" s="10"/>
    </row>
    <row r="109" customFormat="false" ht="15" hidden="false" customHeight="false" outlineLevel="0" collapsed="false">
      <c r="A109" s="10" t="s">
        <v>642</v>
      </c>
      <c r="B109" s="10" t="s">
        <v>499</v>
      </c>
      <c r="C109" s="35" t="n">
        <f aca="false">LEN(B109)</f>
        <v>21</v>
      </c>
      <c r="D109" s="35" t="str">
        <f aca="false">IF(C109&lt;=25,"✓","تجاوز")</f>
        <v>✓</v>
      </c>
      <c r="E109" s="10"/>
    </row>
    <row r="110" customFormat="false" ht="15" hidden="false" customHeight="false" outlineLevel="0" collapsed="false">
      <c r="A110" s="10" t="s">
        <v>643</v>
      </c>
      <c r="B110" s="10" t="s">
        <v>644</v>
      </c>
      <c r="C110" s="35" t="n">
        <f aca="false">LEN(B110)</f>
        <v>17</v>
      </c>
      <c r="D110" s="35" t="str">
        <f aca="false">IF(C110&lt;=25,"✓","تجاوز")</f>
        <v>✓</v>
      </c>
      <c r="E110" s="10"/>
    </row>
    <row r="111" customFormat="false" ht="15" hidden="false" customHeight="false" outlineLevel="0" collapsed="false">
      <c r="A111" s="10" t="s">
        <v>645</v>
      </c>
      <c r="B111" s="10" t="s">
        <v>502</v>
      </c>
      <c r="C111" s="35" t="n">
        <f aca="false">LEN(B111)</f>
        <v>22</v>
      </c>
      <c r="D111" s="35" t="str">
        <f aca="false">IF(C111&lt;=25,"✓","تجاوز")</f>
        <v>✓</v>
      </c>
      <c r="E111" s="10"/>
    </row>
    <row r="112" customFormat="false" ht="15" hidden="false" customHeight="false" outlineLevel="0" collapsed="false">
      <c r="A112" s="10" t="s">
        <v>646</v>
      </c>
      <c r="B112" s="10" t="s">
        <v>402</v>
      </c>
      <c r="C112" s="35" t="n">
        <f aca="false">LEN(B112)</f>
        <v>23</v>
      </c>
      <c r="D112" s="35" t="str">
        <f aca="false">IF(C112&lt;=25,"✓","تجاوز")</f>
        <v>✓</v>
      </c>
      <c r="E112" s="10"/>
    </row>
    <row r="113" customFormat="false" ht="15" hidden="false" customHeight="false" outlineLevel="0" collapsed="false">
      <c r="A113" s="10" t="s">
        <v>647</v>
      </c>
      <c r="B113" s="10" t="s">
        <v>648</v>
      </c>
      <c r="C113" s="35" t="n">
        <f aca="false">LEN(B113)</f>
        <v>18</v>
      </c>
      <c r="D113" s="35" t="str">
        <f aca="false">IF(C113&lt;=25,"✓","تجاوز")</f>
        <v>✓</v>
      </c>
      <c r="E113" s="10"/>
    </row>
    <row r="115" customFormat="false" ht="15" hidden="false" customHeight="false" outlineLevel="0" collapsed="false">
      <c r="A115" s="34" t="s">
        <v>649</v>
      </c>
    </row>
    <row r="116" customFormat="false" ht="15" hidden="false" customHeight="false" outlineLevel="0" collapsed="false">
      <c r="A116" s="9" t="s">
        <v>312</v>
      </c>
      <c r="B116" s="9" t="s">
        <v>485</v>
      </c>
      <c r="C116" s="9" t="s">
        <v>486</v>
      </c>
      <c r="D116" s="9" t="s">
        <v>601</v>
      </c>
      <c r="E116" s="9" t="s">
        <v>234</v>
      </c>
    </row>
    <row r="117" customFormat="false" ht="15" hidden="false" customHeight="false" outlineLevel="0" collapsed="false">
      <c r="A117" s="10" t="s">
        <v>650</v>
      </c>
      <c r="B117" s="10" t="s">
        <v>651</v>
      </c>
      <c r="C117" s="35" t="n">
        <f aca="false">LEN(B117)</f>
        <v>12</v>
      </c>
      <c r="D117" s="35" t="str">
        <f aca="false">IF(C117&lt;=25,"✓","تجاوز")</f>
        <v>✓</v>
      </c>
      <c r="E117" s="10" t="s">
        <v>652</v>
      </c>
    </row>
    <row r="118" customFormat="false" ht="15" hidden="false" customHeight="false" outlineLevel="0" collapsed="false">
      <c r="A118" s="10" t="s">
        <v>653</v>
      </c>
      <c r="B118" s="10" t="s">
        <v>654</v>
      </c>
      <c r="C118" s="35" t="n">
        <f aca="false">LEN(B118)</f>
        <v>9</v>
      </c>
      <c r="D118" s="35" t="str">
        <f aca="false">IF(C118&lt;=25,"✓","تجاوز")</f>
        <v>✓</v>
      </c>
      <c r="E118" s="10" t="s">
        <v>652</v>
      </c>
    </row>
    <row r="119" customFormat="false" ht="15" hidden="false" customHeight="false" outlineLevel="0" collapsed="false">
      <c r="A119" s="10" t="s">
        <v>655</v>
      </c>
      <c r="B119" s="10" t="s">
        <v>656</v>
      </c>
      <c r="C119" s="35" t="n">
        <f aca="false">LEN(B119)</f>
        <v>10</v>
      </c>
      <c r="D119" s="35" t="str">
        <f aca="false">IF(C119&lt;=25,"✓","تجاوز")</f>
        <v>✓</v>
      </c>
      <c r="E119" s="10" t="s">
        <v>652</v>
      </c>
    </row>
    <row r="120" customFormat="false" ht="15" hidden="false" customHeight="false" outlineLevel="0" collapsed="false">
      <c r="A120" s="10" t="s">
        <v>657</v>
      </c>
      <c r="B120" s="10" t="s">
        <v>658</v>
      </c>
      <c r="C120" s="35" t="n">
        <f aca="false">LEN(B120)</f>
        <v>13</v>
      </c>
      <c r="D120" s="35" t="str">
        <f aca="false">IF(C120&lt;=25,"✓","تجاوز")</f>
        <v>✓</v>
      </c>
      <c r="E120" s="10" t="s">
        <v>652</v>
      </c>
    </row>
    <row r="121" customFormat="false" ht="15" hidden="false" customHeight="false" outlineLevel="0" collapsed="false">
      <c r="A121" s="10" t="s">
        <v>659</v>
      </c>
      <c r="B121" s="10" t="s">
        <v>660</v>
      </c>
      <c r="C121" s="35" t="n">
        <f aca="false">LEN(B121)</f>
        <v>12</v>
      </c>
      <c r="D121" s="35" t="str">
        <f aca="false">IF(C121&lt;=25,"✓","تجاوز")</f>
        <v>✓</v>
      </c>
      <c r="E121" s="10" t="s">
        <v>652</v>
      </c>
    </row>
    <row r="123" customFormat="false" ht="15" hidden="false" customHeight="false" outlineLevel="0" collapsed="false">
      <c r="A123" s="34" t="s">
        <v>661</v>
      </c>
    </row>
    <row r="124" customFormat="false" ht="15" hidden="false" customHeight="false" outlineLevel="0" collapsed="false">
      <c r="A124" s="9" t="s">
        <v>312</v>
      </c>
      <c r="B124" s="9" t="s">
        <v>485</v>
      </c>
      <c r="C124" s="9" t="s">
        <v>486</v>
      </c>
      <c r="D124" s="9" t="s">
        <v>601</v>
      </c>
      <c r="E124" s="9" t="s">
        <v>234</v>
      </c>
    </row>
    <row r="125" customFormat="false" ht="15" hidden="false" customHeight="false" outlineLevel="0" collapsed="false">
      <c r="A125" s="10" t="s">
        <v>650</v>
      </c>
      <c r="B125" s="10" t="s">
        <v>662</v>
      </c>
      <c r="C125" s="35" t="n">
        <f aca="false">LEN(B125)</f>
        <v>8</v>
      </c>
      <c r="D125" s="35" t="str">
        <f aca="false">IF(C125&lt;=25,"✓","تجاوز")</f>
        <v>✓</v>
      </c>
      <c r="E125" s="10" t="s">
        <v>663</v>
      </c>
    </row>
    <row r="126" customFormat="false" ht="15" hidden="false" customHeight="false" outlineLevel="0" collapsed="false">
      <c r="A126" s="10" t="s">
        <v>653</v>
      </c>
      <c r="B126" s="10" t="s">
        <v>664</v>
      </c>
      <c r="C126" s="35" t="n">
        <f aca="false">LEN(B126)</f>
        <v>6</v>
      </c>
      <c r="D126" s="35" t="str">
        <f aca="false">IF(C126&lt;=25,"✓","تجاوز")</f>
        <v>✓</v>
      </c>
      <c r="E126" s="10" t="s">
        <v>663</v>
      </c>
    </row>
    <row r="127" customFormat="false" ht="15" hidden="false" customHeight="false" outlineLevel="0" collapsed="false">
      <c r="A127" s="10" t="s">
        <v>655</v>
      </c>
      <c r="B127" s="10" t="s">
        <v>665</v>
      </c>
      <c r="C127" s="35" t="n">
        <f aca="false">LEN(B127)</f>
        <v>6</v>
      </c>
      <c r="D127" s="35" t="str">
        <f aca="false">IF(C127&lt;=25,"✓","تجاوز")</f>
        <v>✓</v>
      </c>
      <c r="E127" s="10" t="s">
        <v>663</v>
      </c>
    </row>
    <row r="128" customFormat="false" ht="15" hidden="false" customHeight="false" outlineLevel="0" collapsed="false">
      <c r="A128" s="10" t="s">
        <v>657</v>
      </c>
      <c r="B128" s="10" t="s">
        <v>666</v>
      </c>
      <c r="C128" s="35" t="n">
        <f aca="false">LEN(B128)</f>
        <v>6</v>
      </c>
      <c r="D128" s="35" t="str">
        <f aca="false">IF(C128&lt;=25,"✓","تجاوز")</f>
        <v>✓</v>
      </c>
      <c r="E128" s="10" t="s">
        <v>663</v>
      </c>
    </row>
    <row r="129" customFormat="false" ht="15" hidden="false" customHeight="false" outlineLevel="0" collapsed="false">
      <c r="A129" s="10" t="s">
        <v>659</v>
      </c>
      <c r="B129" s="10" t="s">
        <v>667</v>
      </c>
      <c r="C129" s="35" t="n">
        <f aca="false">LEN(B129)</f>
        <v>7</v>
      </c>
      <c r="D129" s="35" t="str">
        <f aca="false">IF(C129&lt;=25,"✓","تجاوز")</f>
        <v>✓</v>
      </c>
      <c r="E129" s="10" t="s">
        <v>663</v>
      </c>
    </row>
    <row r="130" customFormat="false" ht="15" hidden="false" customHeight="false" outlineLevel="0" collapsed="false">
      <c r="A130" s="10" t="s">
        <v>668</v>
      </c>
      <c r="B130" s="10" t="s">
        <v>669</v>
      </c>
      <c r="C130" s="35" t="n">
        <f aca="false">LEN(B130)</f>
        <v>8</v>
      </c>
      <c r="D130" s="35" t="str">
        <f aca="false">IF(C130&lt;=25,"✓","تجاوز")</f>
        <v>✓</v>
      </c>
      <c r="E130" s="10" t="s">
        <v>663</v>
      </c>
    </row>
    <row r="131" customFormat="false" ht="15" hidden="false" customHeight="false" outlineLevel="0" collapsed="false">
      <c r="A131" s="10" t="s">
        <v>670</v>
      </c>
      <c r="B131" s="10" t="s">
        <v>671</v>
      </c>
      <c r="C131" s="35" t="n">
        <f aca="false">LEN(B131)</f>
        <v>4</v>
      </c>
      <c r="D131" s="35" t="str">
        <f aca="false">IF(C131&lt;=25,"✓","تجاوز")</f>
        <v>✓</v>
      </c>
      <c r="E131" s="10" t="s">
        <v>663</v>
      </c>
    </row>
    <row r="133" customFormat="false" ht="15" hidden="false" customHeight="false" outlineLevel="0" collapsed="false">
      <c r="A133" s="34" t="s">
        <v>672</v>
      </c>
    </row>
    <row r="134" customFormat="false" ht="15" hidden="false" customHeight="false" outlineLevel="0" collapsed="false">
      <c r="A134" s="9" t="s">
        <v>673</v>
      </c>
      <c r="B134" s="9" t="s">
        <v>233</v>
      </c>
      <c r="C134" s="9"/>
      <c r="D134" s="9"/>
      <c r="E134" s="9" t="s">
        <v>234</v>
      </c>
    </row>
    <row r="135" customFormat="false" ht="15" hidden="false" customHeight="false" outlineLevel="0" collapsed="false">
      <c r="A135" s="10" t="s">
        <v>674</v>
      </c>
      <c r="B135" s="10" t="s">
        <v>675</v>
      </c>
      <c r="C135" s="10"/>
      <c r="D135" s="10"/>
      <c r="E135" s="10" t="s">
        <v>676</v>
      </c>
    </row>
    <row r="136" customFormat="false" ht="15" hidden="false" customHeight="false" outlineLevel="0" collapsed="false">
      <c r="A136" s="10" t="s">
        <v>677</v>
      </c>
      <c r="B136" s="10" t="s">
        <v>678</v>
      </c>
      <c r="C136" s="10"/>
      <c r="D136" s="10"/>
      <c r="E136" s="10" t="s">
        <v>679</v>
      </c>
    </row>
    <row r="137" customFormat="false" ht="15" hidden="false" customHeight="false" outlineLevel="0" collapsed="false">
      <c r="A137" s="10" t="s">
        <v>680</v>
      </c>
      <c r="B137" s="10" t="s">
        <v>681</v>
      </c>
      <c r="C137" s="10"/>
      <c r="D137" s="10"/>
      <c r="E137" s="10" t="s">
        <v>682</v>
      </c>
    </row>
    <row r="138" customFormat="false" ht="15" hidden="false" customHeight="false" outlineLevel="0" collapsed="false">
      <c r="A138" s="10" t="s">
        <v>683</v>
      </c>
      <c r="B138" s="10" t="s">
        <v>684</v>
      </c>
      <c r="C138" s="10"/>
      <c r="D138" s="10"/>
      <c r="E138" s="10" t="s">
        <v>685</v>
      </c>
    </row>
    <row r="139" customFormat="false" ht="15" hidden="false" customHeight="false" outlineLevel="0" collapsed="false">
      <c r="A139" s="10" t="s">
        <v>686</v>
      </c>
      <c r="B139" s="10" t="s">
        <v>687</v>
      </c>
      <c r="C139" s="10"/>
      <c r="D139" s="10"/>
      <c r="E139" s="10" t="s">
        <v>688</v>
      </c>
    </row>
    <row r="140" customFormat="false" ht="23.85" hidden="false" customHeight="false" outlineLevel="0" collapsed="false">
      <c r="A140" s="10" t="s">
        <v>689</v>
      </c>
      <c r="B140" s="10" t="s">
        <v>690</v>
      </c>
      <c r="C140" s="10"/>
      <c r="D140" s="10"/>
      <c r="E140" s="10" t="s">
        <v>691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14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7" t="s">
        <v>692</v>
      </c>
    </row>
    <row r="2" customFormat="false" ht="34.5" hidden="false" customHeight="true" outlineLevel="0" collapsed="false">
      <c r="A2" s="8" t="s">
        <v>693</v>
      </c>
      <c r="B2" s="8"/>
      <c r="C2" s="8"/>
      <c r="D2" s="8"/>
      <c r="E2" s="8"/>
    </row>
    <row r="4" customFormat="false" ht="15" hidden="false" customHeight="false" outlineLevel="0" collapsed="false">
      <c r="A4" s="34" t="s">
        <v>484</v>
      </c>
    </row>
    <row r="5" customFormat="false" ht="15" hidden="false" customHeight="false" outlineLevel="0" collapsed="false">
      <c r="A5" s="9" t="s">
        <v>312</v>
      </c>
      <c r="B5" s="9" t="s">
        <v>485</v>
      </c>
      <c r="C5" s="9" t="s">
        <v>486</v>
      </c>
      <c r="D5" s="9" t="s">
        <v>487</v>
      </c>
      <c r="E5" s="9" t="s">
        <v>234</v>
      </c>
    </row>
    <row r="6" customFormat="false" ht="15" hidden="false" customHeight="false" outlineLevel="0" collapsed="false">
      <c r="A6" s="10" t="s">
        <v>488</v>
      </c>
      <c r="B6" s="10" t="s">
        <v>489</v>
      </c>
      <c r="C6" s="35" t="n">
        <f aca="false">LEN(B6)</f>
        <v>27</v>
      </c>
      <c r="D6" s="35" t="str">
        <f aca="false">IF(C6&lt;=30,"✓","تجاوز")</f>
        <v>✓</v>
      </c>
      <c r="E6" s="10" t="s">
        <v>490</v>
      </c>
    </row>
    <row r="7" customFormat="false" ht="15" hidden="false" customHeight="false" outlineLevel="0" collapsed="false">
      <c r="A7" s="10" t="s">
        <v>350</v>
      </c>
      <c r="B7" s="10" t="s">
        <v>694</v>
      </c>
      <c r="C7" s="35" t="n">
        <f aca="false">LEN(B7)</f>
        <v>22</v>
      </c>
      <c r="D7" s="35" t="str">
        <f aca="false">IF(C7&lt;=30,"✓","تجاوز")</f>
        <v>✓</v>
      </c>
      <c r="E7" s="10"/>
    </row>
    <row r="8" customFormat="false" ht="15" hidden="false" customHeight="false" outlineLevel="0" collapsed="false">
      <c r="A8" s="10" t="s">
        <v>492</v>
      </c>
      <c r="B8" s="10" t="s">
        <v>695</v>
      </c>
      <c r="C8" s="35" t="n">
        <f aca="false">LEN(B8)</f>
        <v>17</v>
      </c>
      <c r="D8" s="35" t="str">
        <f aca="false">IF(C8&lt;=30,"✓","تجاوز")</f>
        <v>✓</v>
      </c>
      <c r="E8" s="10"/>
    </row>
    <row r="9" customFormat="false" ht="15" hidden="false" customHeight="false" outlineLevel="0" collapsed="false">
      <c r="A9" s="10" t="s">
        <v>494</v>
      </c>
      <c r="B9" s="10" t="s">
        <v>696</v>
      </c>
      <c r="C9" s="35" t="n">
        <f aca="false">LEN(B9)</f>
        <v>23</v>
      </c>
      <c r="D9" s="35" t="str">
        <f aca="false">IF(C9&lt;=30,"✓","تجاوز")</f>
        <v>✓</v>
      </c>
      <c r="E9" s="10"/>
    </row>
    <row r="10" customFormat="false" ht="15" hidden="false" customHeight="false" outlineLevel="0" collapsed="false">
      <c r="A10" s="10" t="s">
        <v>496</v>
      </c>
      <c r="B10" s="10" t="s">
        <v>697</v>
      </c>
      <c r="C10" s="35" t="n">
        <f aca="false">LEN(B10)</f>
        <v>19</v>
      </c>
      <c r="D10" s="35" t="str">
        <f aca="false">IF(C10&lt;=30,"✓","تجاوز")</f>
        <v>✓</v>
      </c>
      <c r="E10" s="10"/>
    </row>
    <row r="11" customFormat="false" ht="15" hidden="false" customHeight="false" outlineLevel="0" collapsed="false">
      <c r="A11" s="10" t="s">
        <v>498</v>
      </c>
      <c r="B11" s="10" t="s">
        <v>698</v>
      </c>
      <c r="C11" s="35" t="n">
        <f aca="false">LEN(B11)</f>
        <v>20</v>
      </c>
      <c r="D11" s="35" t="str">
        <f aca="false">IF(C11&lt;=30,"✓","تجاوز")</f>
        <v>✓</v>
      </c>
      <c r="E11" s="10"/>
    </row>
    <row r="12" customFormat="false" ht="15" hidden="false" customHeight="false" outlineLevel="0" collapsed="false">
      <c r="A12" s="10" t="s">
        <v>405</v>
      </c>
      <c r="B12" s="10" t="s">
        <v>407</v>
      </c>
      <c r="C12" s="35" t="n">
        <f aca="false">LEN(B12)</f>
        <v>24</v>
      </c>
      <c r="D12" s="35" t="str">
        <f aca="false">IF(C12&lt;=30,"✓","تجاوز")</f>
        <v>✓</v>
      </c>
      <c r="E12" s="10"/>
    </row>
    <row r="13" customFormat="false" ht="15" hidden="false" customHeight="false" outlineLevel="0" collapsed="false">
      <c r="A13" s="10" t="s">
        <v>501</v>
      </c>
      <c r="B13" s="10" t="s">
        <v>699</v>
      </c>
      <c r="C13" s="35" t="n">
        <f aca="false">LEN(B13)</f>
        <v>20</v>
      </c>
      <c r="D13" s="35" t="str">
        <f aca="false">IF(C13&lt;=30,"✓","تجاوز")</f>
        <v>✓</v>
      </c>
      <c r="E13" s="10"/>
    </row>
    <row r="14" customFormat="false" ht="15" hidden="false" customHeight="false" outlineLevel="0" collapsed="false">
      <c r="A14" s="10" t="s">
        <v>503</v>
      </c>
      <c r="B14" s="10" t="s">
        <v>500</v>
      </c>
      <c r="C14" s="35" t="n">
        <f aca="false">LEN(B14)</f>
        <v>21</v>
      </c>
      <c r="D14" s="35" t="str">
        <f aca="false">IF(C14&lt;=30,"✓","تجاوز")</f>
        <v>✓</v>
      </c>
      <c r="E14" s="10"/>
    </row>
    <row r="15" customFormat="false" ht="15" hidden="false" customHeight="false" outlineLevel="0" collapsed="false">
      <c r="A15" s="10" t="s">
        <v>505</v>
      </c>
      <c r="B15" s="10" t="s">
        <v>700</v>
      </c>
      <c r="C15" s="35" t="n">
        <f aca="false">LEN(B15)</f>
        <v>18</v>
      </c>
      <c r="D15" s="35" t="str">
        <f aca="false">IF(C15&lt;=30,"✓","تجاوز")</f>
        <v>✓</v>
      </c>
      <c r="E15" s="10"/>
    </row>
    <row r="16" customFormat="false" ht="15" hidden="false" customHeight="false" outlineLevel="0" collapsed="false">
      <c r="A16" s="10" t="s">
        <v>507</v>
      </c>
      <c r="B16" s="10" t="s">
        <v>701</v>
      </c>
      <c r="C16" s="35" t="n">
        <f aca="false">LEN(B16)</f>
        <v>24</v>
      </c>
      <c r="D16" s="35" t="str">
        <f aca="false">IF(C16&lt;=30,"✓","تجاوز")</f>
        <v>✓</v>
      </c>
      <c r="E16" s="10"/>
    </row>
    <row r="17" customFormat="false" ht="15" hidden="false" customHeight="false" outlineLevel="0" collapsed="false">
      <c r="A17" s="10" t="s">
        <v>317</v>
      </c>
      <c r="B17" s="10" t="s">
        <v>702</v>
      </c>
      <c r="C17" s="35" t="n">
        <f aca="false">LEN(B17)</f>
        <v>20</v>
      </c>
      <c r="D17" s="35" t="str">
        <f aca="false">IF(C17&lt;=30,"✓","تجاوز")</f>
        <v>✓</v>
      </c>
      <c r="E17" s="10"/>
    </row>
    <row r="18" customFormat="false" ht="15" hidden="false" customHeight="false" outlineLevel="0" collapsed="false">
      <c r="A18" s="10" t="s">
        <v>509</v>
      </c>
      <c r="B18" s="10" t="s">
        <v>703</v>
      </c>
      <c r="C18" s="35" t="n">
        <f aca="false">LEN(B18)</f>
        <v>22</v>
      </c>
      <c r="D18" s="35" t="str">
        <f aca="false">IF(C18&lt;=30,"✓","تجاوز")</f>
        <v>✓</v>
      </c>
      <c r="E18" s="10"/>
    </row>
    <row r="19" customFormat="false" ht="15" hidden="false" customHeight="false" outlineLevel="0" collapsed="false">
      <c r="A19" s="10" t="s">
        <v>401</v>
      </c>
      <c r="B19" s="10" t="s">
        <v>704</v>
      </c>
      <c r="C19" s="35" t="n">
        <f aca="false">LEN(B19)</f>
        <v>17</v>
      </c>
      <c r="D19" s="35" t="str">
        <f aca="false">IF(C19&lt;=30,"✓","تجاوز")</f>
        <v>✓</v>
      </c>
      <c r="E19" s="10"/>
    </row>
    <row r="20" customFormat="false" ht="15" hidden="false" customHeight="false" outlineLevel="0" collapsed="false">
      <c r="A20" s="10" t="s">
        <v>511</v>
      </c>
      <c r="B20" s="10" t="s">
        <v>705</v>
      </c>
      <c r="C20" s="35" t="n">
        <f aca="false">LEN(B20)</f>
        <v>14</v>
      </c>
      <c r="D20" s="35" t="str">
        <f aca="false">IF(C20&lt;=30,"✓","تجاوز")</f>
        <v>✓</v>
      </c>
      <c r="E20" s="10"/>
    </row>
    <row r="22" customFormat="false" ht="15" hidden="false" customHeight="false" outlineLevel="0" collapsed="false">
      <c r="A22" s="34" t="s">
        <v>513</v>
      </c>
    </row>
    <row r="23" customFormat="false" ht="15" hidden="false" customHeight="false" outlineLevel="0" collapsed="false">
      <c r="A23" s="9" t="s">
        <v>312</v>
      </c>
      <c r="B23" s="9" t="s">
        <v>485</v>
      </c>
      <c r="C23" s="9" t="s">
        <v>486</v>
      </c>
      <c r="D23" s="9" t="s">
        <v>514</v>
      </c>
      <c r="E23" s="9" t="s">
        <v>234</v>
      </c>
    </row>
    <row r="24" customFormat="false" ht="15" hidden="false" customHeight="false" outlineLevel="0" collapsed="false">
      <c r="A24" s="10" t="s">
        <v>354</v>
      </c>
      <c r="B24" s="10" t="s">
        <v>706</v>
      </c>
      <c r="C24" s="35" t="n">
        <f aca="false">LEN(B24)</f>
        <v>78</v>
      </c>
      <c r="D24" s="35" t="str">
        <f aca="false">IF(C24&lt;=90,"✓","تجاوز")</f>
        <v>✓</v>
      </c>
      <c r="E24" s="10"/>
    </row>
    <row r="25" customFormat="false" ht="15" hidden="false" customHeight="false" outlineLevel="0" collapsed="false">
      <c r="A25" s="10" t="s">
        <v>516</v>
      </c>
      <c r="B25" s="10" t="s">
        <v>707</v>
      </c>
      <c r="C25" s="35" t="n">
        <f aca="false">LEN(B25)</f>
        <v>74</v>
      </c>
      <c r="D25" s="35" t="str">
        <f aca="false">IF(C25&lt;=90,"✓","تجاوز")</f>
        <v>✓</v>
      </c>
      <c r="E25" s="10"/>
    </row>
    <row r="26" customFormat="false" ht="15" hidden="false" customHeight="false" outlineLevel="0" collapsed="false">
      <c r="A26" s="10" t="s">
        <v>358</v>
      </c>
      <c r="B26" s="10" t="s">
        <v>708</v>
      </c>
      <c r="C26" s="35" t="n">
        <f aca="false">LEN(B26)</f>
        <v>78</v>
      </c>
      <c r="D26" s="35" t="str">
        <f aca="false">IF(C26&lt;=90,"✓","تجاوز")</f>
        <v>✓</v>
      </c>
      <c r="E26" s="10"/>
    </row>
    <row r="27" customFormat="false" ht="15" hidden="false" customHeight="false" outlineLevel="0" collapsed="false">
      <c r="A27" s="10" t="s">
        <v>388</v>
      </c>
      <c r="B27" s="10" t="s">
        <v>709</v>
      </c>
      <c r="C27" s="35" t="n">
        <f aca="false">LEN(B27)</f>
        <v>71</v>
      </c>
      <c r="D27" s="35" t="str">
        <f aca="false">IF(C27&lt;=90,"✓","تجاوز")</f>
        <v>✓</v>
      </c>
      <c r="E27" s="10"/>
    </row>
    <row r="29" customFormat="false" ht="15" hidden="false" customHeight="false" outlineLevel="0" collapsed="false">
      <c r="A29" s="34" t="s">
        <v>520</v>
      </c>
    </row>
    <row r="30" customFormat="false" ht="15" hidden="false" customHeight="false" outlineLevel="0" collapsed="false">
      <c r="A30" s="9" t="s">
        <v>157</v>
      </c>
      <c r="B30" s="9" t="s">
        <v>485</v>
      </c>
      <c r="C30" s="9" t="s">
        <v>486</v>
      </c>
      <c r="D30" s="9" t="s">
        <v>487</v>
      </c>
      <c r="E30" s="9" t="s">
        <v>234</v>
      </c>
    </row>
    <row r="31" customFormat="false" ht="15" hidden="false" customHeight="false" outlineLevel="0" collapsed="false">
      <c r="A31" s="10" t="s">
        <v>521</v>
      </c>
      <c r="B31" s="10" t="s">
        <v>710</v>
      </c>
      <c r="C31" s="35" t="n">
        <f aca="false">LEN(B31)</f>
        <v>19</v>
      </c>
      <c r="D31" s="35" t="str">
        <f aca="false">IF(C31&lt;=30,"✓","تجاوز")</f>
        <v>✓</v>
      </c>
      <c r="E31" s="10" t="s">
        <v>523</v>
      </c>
    </row>
    <row r="32" customFormat="false" ht="15" hidden="false" customHeight="false" outlineLevel="0" collapsed="false">
      <c r="A32" s="10" t="s">
        <v>524</v>
      </c>
      <c r="B32" s="10" t="s">
        <v>711</v>
      </c>
      <c r="C32" s="35" t="n">
        <f aca="false">LEN(B32)</f>
        <v>15</v>
      </c>
      <c r="D32" s="35" t="str">
        <f aca="false">IF(C32&lt;=30,"✓","تجاوز")</f>
        <v>✓</v>
      </c>
      <c r="E32" s="10" t="s">
        <v>523</v>
      </c>
    </row>
    <row r="33" customFormat="false" ht="15" hidden="false" customHeight="false" outlineLevel="0" collapsed="false">
      <c r="A33" s="10" t="s">
        <v>526</v>
      </c>
      <c r="B33" s="10" t="s">
        <v>712</v>
      </c>
      <c r="C33" s="35" t="n">
        <f aca="false">LEN(B33)</f>
        <v>19</v>
      </c>
      <c r="D33" s="35" t="str">
        <f aca="false">IF(C33&lt;=30,"✓","تجاوز")</f>
        <v>✓</v>
      </c>
      <c r="E33" s="10" t="s">
        <v>523</v>
      </c>
    </row>
    <row r="34" customFormat="false" ht="15" hidden="false" customHeight="false" outlineLevel="0" collapsed="false">
      <c r="A34" s="10" t="s">
        <v>528</v>
      </c>
      <c r="B34" s="10" t="s">
        <v>713</v>
      </c>
      <c r="C34" s="35" t="n">
        <f aca="false">LEN(B34)</f>
        <v>25</v>
      </c>
      <c r="D34" s="35" t="str">
        <f aca="false">IF(C34&lt;=30,"✓","تجاوز")</f>
        <v>✓</v>
      </c>
      <c r="E34" s="10" t="s">
        <v>523</v>
      </c>
    </row>
    <row r="35" customFormat="false" ht="15" hidden="false" customHeight="false" outlineLevel="0" collapsed="false">
      <c r="A35" s="10" t="s">
        <v>530</v>
      </c>
      <c r="B35" s="10" t="s">
        <v>714</v>
      </c>
      <c r="C35" s="35" t="n">
        <f aca="false">LEN(B35)</f>
        <v>19</v>
      </c>
      <c r="D35" s="35" t="str">
        <f aca="false">IF(C35&lt;=30,"✓","تجاوز")</f>
        <v>✓</v>
      </c>
      <c r="E35" s="10" t="s">
        <v>523</v>
      </c>
    </row>
    <row r="36" customFormat="false" ht="15" hidden="false" customHeight="false" outlineLevel="0" collapsed="false">
      <c r="A36" s="10" t="s">
        <v>532</v>
      </c>
      <c r="B36" s="10" t="s">
        <v>533</v>
      </c>
      <c r="C36" s="35" t="n">
        <f aca="false">LEN(B36)</f>
        <v>26</v>
      </c>
      <c r="D36" s="35" t="str">
        <f aca="false">IF(C36&lt;=30,"✓","تجاوز")</f>
        <v>✓</v>
      </c>
      <c r="E36" s="10" t="s">
        <v>523</v>
      </c>
    </row>
    <row r="37" customFormat="false" ht="15" hidden="false" customHeight="false" outlineLevel="0" collapsed="false">
      <c r="A37" s="10" t="s">
        <v>534</v>
      </c>
      <c r="B37" s="10" t="s">
        <v>715</v>
      </c>
      <c r="C37" s="35" t="n">
        <f aca="false">LEN(B37)</f>
        <v>15</v>
      </c>
      <c r="D37" s="35" t="str">
        <f aca="false">IF(C37&lt;=30,"✓","تجاوز")</f>
        <v>✓</v>
      </c>
      <c r="E37" s="10" t="s">
        <v>523</v>
      </c>
    </row>
    <row r="38" customFormat="false" ht="15" hidden="false" customHeight="false" outlineLevel="0" collapsed="false">
      <c r="A38" s="10" t="s">
        <v>535</v>
      </c>
      <c r="B38" s="10" t="s">
        <v>716</v>
      </c>
      <c r="C38" s="35" t="n">
        <f aca="false">LEN(B38)</f>
        <v>18</v>
      </c>
      <c r="D38" s="35" t="str">
        <f aca="false">IF(C38&lt;=30,"✓","تجاوز")</f>
        <v>✓</v>
      </c>
      <c r="E38" s="10" t="s">
        <v>523</v>
      </c>
    </row>
    <row r="39" customFormat="false" ht="15" hidden="false" customHeight="false" outlineLevel="0" collapsed="false">
      <c r="A39" s="10" t="s">
        <v>537</v>
      </c>
      <c r="B39" s="10" t="s">
        <v>717</v>
      </c>
      <c r="C39" s="35" t="n">
        <f aca="false">LEN(B39)</f>
        <v>21</v>
      </c>
      <c r="D39" s="35" t="str">
        <f aca="false">IF(C39&lt;=30,"✓","تجاوز")</f>
        <v>✓</v>
      </c>
      <c r="E39" s="10" t="s">
        <v>523</v>
      </c>
    </row>
    <row r="40" customFormat="false" ht="15" hidden="false" customHeight="false" outlineLevel="0" collapsed="false">
      <c r="A40" s="10" t="s">
        <v>539</v>
      </c>
      <c r="B40" s="10" t="s">
        <v>495</v>
      </c>
      <c r="C40" s="35" t="n">
        <f aca="false">LEN(B40)</f>
        <v>20</v>
      </c>
      <c r="D40" s="35" t="str">
        <f aca="false">IF(C40&lt;=30,"✓","تجاوز")</f>
        <v>✓</v>
      </c>
      <c r="E40" s="10" t="s">
        <v>523</v>
      </c>
    </row>
    <row r="41" customFormat="false" ht="15" hidden="false" customHeight="false" outlineLevel="0" collapsed="false">
      <c r="A41" s="10" t="s">
        <v>540</v>
      </c>
      <c r="B41" s="10" t="s">
        <v>718</v>
      </c>
      <c r="C41" s="35" t="n">
        <f aca="false">LEN(B41)</f>
        <v>22</v>
      </c>
      <c r="D41" s="35" t="str">
        <f aca="false">IF(C41&lt;=30,"✓","تجاوز")</f>
        <v>✓</v>
      </c>
      <c r="E41" s="10" t="s">
        <v>523</v>
      </c>
    </row>
    <row r="42" customFormat="false" ht="15" hidden="false" customHeight="false" outlineLevel="0" collapsed="false">
      <c r="A42" s="10" t="s">
        <v>542</v>
      </c>
      <c r="B42" s="10" t="s">
        <v>719</v>
      </c>
      <c r="C42" s="35" t="n">
        <f aca="false">LEN(B42)</f>
        <v>19</v>
      </c>
      <c r="D42" s="35" t="str">
        <f aca="false">IF(C42&lt;=30,"✓","تجاوز")</f>
        <v>✓</v>
      </c>
      <c r="E42" s="10" t="s">
        <v>523</v>
      </c>
    </row>
    <row r="43" customFormat="false" ht="15" hidden="false" customHeight="false" outlineLevel="0" collapsed="false">
      <c r="A43" s="10" t="s">
        <v>544</v>
      </c>
      <c r="B43" s="10" t="s">
        <v>720</v>
      </c>
      <c r="C43" s="35" t="n">
        <f aca="false">LEN(B43)</f>
        <v>16</v>
      </c>
      <c r="D43" s="35" t="str">
        <f aca="false">IF(C43&lt;=30,"✓","تجاوز")</f>
        <v>✓</v>
      </c>
      <c r="E43" s="10" t="s">
        <v>523</v>
      </c>
    </row>
    <row r="44" customFormat="false" ht="15" hidden="false" customHeight="false" outlineLevel="0" collapsed="false">
      <c r="A44" s="10" t="s">
        <v>546</v>
      </c>
      <c r="B44" s="10" t="s">
        <v>147</v>
      </c>
      <c r="C44" s="35" t="n">
        <f aca="false">LEN(B44)</f>
        <v>17</v>
      </c>
      <c r="D44" s="35" t="str">
        <f aca="false">IF(C44&lt;=30,"✓","تجاوز")</f>
        <v>✓</v>
      </c>
      <c r="E44" s="10" t="s">
        <v>523</v>
      </c>
    </row>
    <row r="45" customFormat="false" ht="15" hidden="false" customHeight="false" outlineLevel="0" collapsed="false">
      <c r="A45" s="10" t="s">
        <v>548</v>
      </c>
      <c r="B45" s="10" t="s">
        <v>721</v>
      </c>
      <c r="C45" s="35" t="n">
        <f aca="false">LEN(B45)</f>
        <v>23</v>
      </c>
      <c r="D45" s="35" t="str">
        <f aca="false">IF(C45&lt;=30,"✓","تجاوز")</f>
        <v>✓</v>
      </c>
      <c r="E45" s="10" t="s">
        <v>523</v>
      </c>
    </row>
    <row r="46" customFormat="false" ht="15" hidden="false" customHeight="false" outlineLevel="0" collapsed="false">
      <c r="A46" s="10" t="s">
        <v>550</v>
      </c>
      <c r="B46" s="10" t="s">
        <v>722</v>
      </c>
      <c r="C46" s="35" t="n">
        <f aca="false">LEN(B46)</f>
        <v>21</v>
      </c>
      <c r="D46" s="35" t="str">
        <f aca="false">IF(C46&lt;=30,"✓","تجاوز")</f>
        <v>✓</v>
      </c>
      <c r="E46" s="10" t="s">
        <v>523</v>
      </c>
    </row>
    <row r="47" customFormat="false" ht="15" hidden="false" customHeight="false" outlineLevel="0" collapsed="false">
      <c r="A47" s="10" t="s">
        <v>552</v>
      </c>
      <c r="B47" s="10" t="s">
        <v>723</v>
      </c>
      <c r="C47" s="35" t="n">
        <f aca="false">LEN(B47)</f>
        <v>17</v>
      </c>
      <c r="D47" s="35" t="str">
        <f aca="false">IF(C47&lt;=30,"✓","تجاوز")</f>
        <v>✓</v>
      </c>
      <c r="E47" s="10" t="s">
        <v>523</v>
      </c>
    </row>
    <row r="48" customFormat="false" ht="15" hidden="false" customHeight="false" outlineLevel="0" collapsed="false">
      <c r="A48" s="10" t="s">
        <v>553</v>
      </c>
      <c r="B48" s="10" t="s">
        <v>407</v>
      </c>
      <c r="C48" s="35" t="n">
        <f aca="false">LEN(B48)</f>
        <v>24</v>
      </c>
      <c r="D48" s="35" t="str">
        <f aca="false">IF(C48&lt;=30,"✓","تجاوز")</f>
        <v>✓</v>
      </c>
      <c r="E48" s="10" t="s">
        <v>523</v>
      </c>
    </row>
    <row r="49" customFormat="false" ht="15" hidden="false" customHeight="false" outlineLevel="0" collapsed="false">
      <c r="A49" s="10" t="s">
        <v>555</v>
      </c>
      <c r="B49" s="10" t="s">
        <v>724</v>
      </c>
      <c r="C49" s="35" t="n">
        <f aca="false">LEN(B49)</f>
        <v>17</v>
      </c>
      <c r="D49" s="35" t="str">
        <f aca="false">IF(C49&lt;=30,"✓","تجاوز")</f>
        <v>✓</v>
      </c>
      <c r="E49" s="10" t="s">
        <v>523</v>
      </c>
    </row>
    <row r="51" customFormat="false" ht="15" hidden="false" customHeight="false" outlineLevel="0" collapsed="false">
      <c r="A51" s="34" t="s">
        <v>557</v>
      </c>
    </row>
    <row r="52" customFormat="false" ht="15" hidden="false" customHeight="false" outlineLevel="0" collapsed="false">
      <c r="A52" s="9" t="s">
        <v>157</v>
      </c>
      <c r="B52" s="9" t="s">
        <v>485</v>
      </c>
      <c r="C52" s="9" t="s">
        <v>486</v>
      </c>
      <c r="D52" s="9" t="s">
        <v>514</v>
      </c>
      <c r="E52" s="9" t="s">
        <v>234</v>
      </c>
    </row>
    <row r="53" customFormat="false" ht="15" hidden="false" customHeight="false" outlineLevel="0" collapsed="false">
      <c r="A53" s="10" t="s">
        <v>558</v>
      </c>
      <c r="B53" s="10" t="s">
        <v>725</v>
      </c>
      <c r="C53" s="35" t="n">
        <f aca="false">LEN(B53)</f>
        <v>84</v>
      </c>
      <c r="D53" s="35" t="str">
        <f aca="false">IF(C53&lt;=90,"✓","تجاوز")</f>
        <v>✓</v>
      </c>
      <c r="E53" s="10" t="s">
        <v>560</v>
      </c>
    </row>
    <row r="54" customFormat="false" ht="15" hidden="false" customHeight="false" outlineLevel="0" collapsed="false">
      <c r="A54" s="10" t="s">
        <v>561</v>
      </c>
      <c r="B54" s="10" t="s">
        <v>726</v>
      </c>
      <c r="C54" s="35" t="n">
        <f aca="false">LEN(B54)</f>
        <v>83</v>
      </c>
      <c r="D54" s="35" t="str">
        <f aca="false">IF(C54&lt;=90,"✓","تجاوز")</f>
        <v>✓</v>
      </c>
      <c r="E54" s="10" t="s">
        <v>560</v>
      </c>
    </row>
    <row r="55" customFormat="false" ht="15" hidden="false" customHeight="false" outlineLevel="0" collapsed="false">
      <c r="A55" s="10" t="s">
        <v>563</v>
      </c>
      <c r="B55" s="10" t="s">
        <v>727</v>
      </c>
      <c r="C55" s="35" t="n">
        <f aca="false">LEN(B55)</f>
        <v>82</v>
      </c>
      <c r="D55" s="35" t="str">
        <f aca="false">IF(C55&lt;=90,"✓","تجاوز")</f>
        <v>✓</v>
      </c>
      <c r="E55" s="10" t="s">
        <v>560</v>
      </c>
    </row>
    <row r="56" customFormat="false" ht="15" hidden="false" customHeight="false" outlineLevel="0" collapsed="false">
      <c r="A56" s="10" t="s">
        <v>565</v>
      </c>
      <c r="B56" s="10" t="s">
        <v>728</v>
      </c>
      <c r="C56" s="35" t="n">
        <f aca="false">LEN(B56)</f>
        <v>84</v>
      </c>
      <c r="D56" s="35" t="str">
        <f aca="false">IF(C56&lt;=90,"✓","تجاوز")</f>
        <v>✓</v>
      </c>
      <c r="E56" s="10" t="s">
        <v>560</v>
      </c>
    </row>
    <row r="57" customFormat="false" ht="15" hidden="false" customHeight="false" outlineLevel="0" collapsed="false">
      <c r="A57" s="10" t="s">
        <v>567</v>
      </c>
      <c r="B57" s="10" t="s">
        <v>729</v>
      </c>
      <c r="C57" s="35" t="n">
        <f aca="false">LEN(B57)</f>
        <v>81</v>
      </c>
      <c r="D57" s="35" t="str">
        <f aca="false">IF(C57&lt;=90,"✓","تجاوز")</f>
        <v>✓</v>
      </c>
      <c r="E57" s="10" t="s">
        <v>560</v>
      </c>
    </row>
    <row r="58" customFormat="false" ht="15" hidden="false" customHeight="false" outlineLevel="0" collapsed="false">
      <c r="A58" s="10" t="s">
        <v>569</v>
      </c>
      <c r="B58" s="10" t="s">
        <v>730</v>
      </c>
      <c r="C58" s="35" t="n">
        <f aca="false">LEN(B58)</f>
        <v>78</v>
      </c>
      <c r="D58" s="35" t="str">
        <f aca="false">IF(C58&lt;=90,"✓","تجاوز")</f>
        <v>✓</v>
      </c>
      <c r="E58" s="10" t="s">
        <v>560</v>
      </c>
    </row>
    <row r="60" customFormat="false" ht="15" hidden="false" customHeight="false" outlineLevel="0" collapsed="false">
      <c r="A60" s="34" t="s">
        <v>571</v>
      </c>
    </row>
    <row r="61" customFormat="false" ht="15" hidden="false" customHeight="false" outlineLevel="0" collapsed="false">
      <c r="A61" s="9" t="s">
        <v>312</v>
      </c>
      <c r="B61" s="9" t="s">
        <v>485</v>
      </c>
      <c r="C61" s="9" t="s">
        <v>486</v>
      </c>
      <c r="D61" s="9" t="s">
        <v>487</v>
      </c>
      <c r="E61" s="9" t="s">
        <v>234</v>
      </c>
    </row>
    <row r="62" customFormat="false" ht="15" hidden="false" customHeight="false" outlineLevel="0" collapsed="false">
      <c r="A62" s="10" t="s">
        <v>572</v>
      </c>
      <c r="B62" s="10" t="s">
        <v>573</v>
      </c>
      <c r="C62" s="35" t="n">
        <f aca="false">LEN(B62)</f>
        <v>22</v>
      </c>
      <c r="D62" s="35" t="str">
        <f aca="false">IF(C62&lt;=30,"✓","تجاوز")</f>
        <v>✓</v>
      </c>
      <c r="E62" s="10" t="s">
        <v>574</v>
      </c>
    </row>
    <row r="63" customFormat="false" ht="15" hidden="false" customHeight="false" outlineLevel="0" collapsed="false">
      <c r="A63" s="10" t="s">
        <v>575</v>
      </c>
      <c r="B63" s="10" t="s">
        <v>731</v>
      </c>
      <c r="C63" s="35" t="n">
        <f aca="false">LEN(B63)</f>
        <v>21</v>
      </c>
      <c r="D63" s="35" t="str">
        <f aca="false">IF(C63&lt;=30,"✓","تجاوز")</f>
        <v>✓</v>
      </c>
      <c r="E63" s="10"/>
    </row>
    <row r="64" customFormat="false" ht="15" hidden="false" customHeight="false" outlineLevel="0" collapsed="false">
      <c r="A64" s="10" t="s">
        <v>577</v>
      </c>
      <c r="B64" s="10" t="s">
        <v>732</v>
      </c>
      <c r="C64" s="35" t="n">
        <f aca="false">LEN(B64)</f>
        <v>28</v>
      </c>
      <c r="D64" s="35" t="str">
        <f aca="false">IF(C64&lt;=30,"✓","تجاوز")</f>
        <v>✓</v>
      </c>
      <c r="E64" s="10"/>
    </row>
    <row r="65" customFormat="false" ht="15" hidden="false" customHeight="false" outlineLevel="0" collapsed="false">
      <c r="A65" s="10" t="s">
        <v>579</v>
      </c>
      <c r="B65" s="10" t="s">
        <v>733</v>
      </c>
      <c r="C65" s="35" t="n">
        <f aca="false">LEN(B65)</f>
        <v>24</v>
      </c>
      <c r="D65" s="35" t="str">
        <f aca="false">IF(C65&lt;=30,"✓","تجاوز")</f>
        <v>✓</v>
      </c>
      <c r="E65" s="10"/>
    </row>
    <row r="66" customFormat="false" ht="15" hidden="false" customHeight="false" outlineLevel="0" collapsed="false">
      <c r="A66" s="10" t="s">
        <v>581</v>
      </c>
      <c r="B66" s="10" t="s">
        <v>734</v>
      </c>
      <c r="C66" s="35" t="n">
        <f aca="false">LEN(B66)</f>
        <v>26</v>
      </c>
      <c r="D66" s="35" t="str">
        <f aca="false">IF(C66&lt;=30,"✓","تجاوز")</f>
        <v>✓</v>
      </c>
      <c r="E66" s="10"/>
    </row>
    <row r="67" customFormat="false" ht="15" hidden="false" customHeight="false" outlineLevel="0" collapsed="false">
      <c r="A67" s="10" t="s">
        <v>583</v>
      </c>
      <c r="B67" s="10" t="s">
        <v>735</v>
      </c>
      <c r="C67" s="35" t="n">
        <f aca="false">LEN(B67)</f>
        <v>30</v>
      </c>
      <c r="D67" s="35" t="str">
        <f aca="false">IF(C67&lt;=30,"✓","تجاوز")</f>
        <v>✓</v>
      </c>
      <c r="E67" s="10"/>
    </row>
    <row r="68" customFormat="false" ht="15" hidden="false" customHeight="false" outlineLevel="0" collapsed="false">
      <c r="A68" s="10" t="s">
        <v>585</v>
      </c>
      <c r="B68" s="10" t="s">
        <v>580</v>
      </c>
      <c r="C68" s="35" t="n">
        <f aca="false">LEN(B68)</f>
        <v>24</v>
      </c>
      <c r="D68" s="35" t="str">
        <f aca="false">IF(C68&lt;=30,"✓","تجاوز")</f>
        <v>✓</v>
      </c>
      <c r="E68" s="10"/>
    </row>
    <row r="69" customFormat="false" ht="15" hidden="false" customHeight="false" outlineLevel="0" collapsed="false">
      <c r="A69" s="10" t="s">
        <v>587</v>
      </c>
      <c r="B69" s="10" t="s">
        <v>736</v>
      </c>
      <c r="C69" s="35" t="n">
        <f aca="false">LEN(B69)</f>
        <v>26</v>
      </c>
      <c r="D69" s="35" t="str">
        <f aca="false">IF(C69&lt;=30,"✓","تجاوز")</f>
        <v>✓</v>
      </c>
      <c r="E69" s="10"/>
    </row>
    <row r="70" customFormat="false" ht="15" hidden="false" customHeight="false" outlineLevel="0" collapsed="false">
      <c r="A70" s="10" t="s">
        <v>589</v>
      </c>
      <c r="B70" s="10" t="s">
        <v>737</v>
      </c>
      <c r="C70" s="35" t="n">
        <f aca="false">LEN(B70)</f>
        <v>22</v>
      </c>
      <c r="D70" s="35" t="str">
        <f aca="false">IF(C70&lt;=30,"✓","تجاوز")</f>
        <v>✓</v>
      </c>
      <c r="E70" s="10"/>
    </row>
    <row r="71" customFormat="false" ht="15" hidden="false" customHeight="false" outlineLevel="0" collapsed="false">
      <c r="A71" s="10" t="s">
        <v>590</v>
      </c>
      <c r="B71" s="10" t="s">
        <v>342</v>
      </c>
      <c r="C71" s="35" t="n">
        <f aca="false">LEN(B71)</f>
        <v>28</v>
      </c>
      <c r="D71" s="35" t="str">
        <f aca="false">IF(C71&lt;=30,"✓","تجاوز")</f>
        <v>✓</v>
      </c>
      <c r="E71" s="10"/>
    </row>
    <row r="73" customFormat="false" ht="15" hidden="false" customHeight="false" outlineLevel="0" collapsed="false">
      <c r="A73" s="34" t="s">
        <v>592</v>
      </c>
    </row>
    <row r="74" customFormat="false" ht="15" hidden="false" customHeight="false" outlineLevel="0" collapsed="false">
      <c r="A74" s="9" t="s">
        <v>312</v>
      </c>
      <c r="B74" s="9" t="s">
        <v>485</v>
      </c>
      <c r="C74" s="9" t="s">
        <v>486</v>
      </c>
      <c r="D74" s="9" t="s">
        <v>514</v>
      </c>
      <c r="E74" s="9" t="s">
        <v>234</v>
      </c>
    </row>
    <row r="75" customFormat="false" ht="23.85" hidden="false" customHeight="false" outlineLevel="0" collapsed="false">
      <c r="A75" s="10" t="s">
        <v>593</v>
      </c>
      <c r="B75" s="10" t="s">
        <v>738</v>
      </c>
      <c r="C75" s="35" t="n">
        <f aca="false">LEN(B75)</f>
        <v>89</v>
      </c>
      <c r="D75" s="35" t="str">
        <f aca="false">IF(C75&lt;=90,"✓","تجاوز")</f>
        <v>✓</v>
      </c>
      <c r="E75" s="10"/>
    </row>
    <row r="76" customFormat="false" ht="15" hidden="false" customHeight="false" outlineLevel="0" collapsed="false">
      <c r="A76" s="10" t="s">
        <v>594</v>
      </c>
      <c r="B76" s="10" t="s">
        <v>739</v>
      </c>
      <c r="C76" s="35" t="n">
        <f aca="false">LEN(B76)</f>
        <v>88</v>
      </c>
      <c r="D76" s="35" t="str">
        <f aca="false">IF(C76&lt;=90,"✓","تجاوز")</f>
        <v>✓</v>
      </c>
      <c r="E76" s="10"/>
    </row>
    <row r="77" customFormat="false" ht="23.85" hidden="false" customHeight="false" outlineLevel="0" collapsed="false">
      <c r="A77" s="10" t="s">
        <v>596</v>
      </c>
      <c r="B77" s="10" t="s">
        <v>740</v>
      </c>
      <c r="C77" s="35" t="n">
        <f aca="false">LEN(B77)</f>
        <v>83</v>
      </c>
      <c r="D77" s="35" t="str">
        <f aca="false">IF(C77&lt;=90,"✓","تجاوز")</f>
        <v>✓</v>
      </c>
      <c r="E77" s="10"/>
    </row>
    <row r="78" customFormat="false" ht="23.85" hidden="false" customHeight="false" outlineLevel="0" collapsed="false">
      <c r="A78" s="10" t="s">
        <v>598</v>
      </c>
      <c r="B78" s="10" t="s">
        <v>741</v>
      </c>
      <c r="C78" s="35" t="n">
        <f aca="false">LEN(B78)</f>
        <v>87</v>
      </c>
      <c r="D78" s="35" t="str">
        <f aca="false">IF(C78&lt;=90,"✓","تجاوز")</f>
        <v>✓</v>
      </c>
      <c r="E78" s="10"/>
    </row>
    <row r="80" customFormat="false" ht="15" hidden="false" customHeight="false" outlineLevel="0" collapsed="false">
      <c r="A80" s="34" t="s">
        <v>600</v>
      </c>
    </row>
    <row r="81" customFormat="false" ht="15" hidden="false" customHeight="false" outlineLevel="0" collapsed="false">
      <c r="A81" s="9" t="s">
        <v>312</v>
      </c>
      <c r="B81" s="9" t="s">
        <v>485</v>
      </c>
      <c r="C81" s="9" t="s">
        <v>486</v>
      </c>
      <c r="D81" s="9" t="s">
        <v>601</v>
      </c>
      <c r="E81" s="9" t="s">
        <v>234</v>
      </c>
    </row>
    <row r="82" customFormat="false" ht="15" hidden="false" customHeight="false" outlineLevel="0" collapsed="false">
      <c r="A82" s="10" t="s">
        <v>602</v>
      </c>
      <c r="B82" s="10" t="s">
        <v>742</v>
      </c>
      <c r="C82" s="35" t="n">
        <f aca="false">LEN(B82)</f>
        <v>21</v>
      </c>
      <c r="D82" s="35" t="str">
        <f aca="false">IF(C82&lt;=25,"✓","تجاوز")</f>
        <v>✓</v>
      </c>
      <c r="E82" s="10" t="s">
        <v>604</v>
      </c>
    </row>
    <row r="83" customFormat="false" ht="15" hidden="false" customHeight="false" outlineLevel="0" collapsed="false">
      <c r="A83" s="10" t="s">
        <v>605</v>
      </c>
      <c r="B83" s="10" t="s">
        <v>743</v>
      </c>
      <c r="C83" s="35" t="n">
        <f aca="false">LEN(B83)</f>
        <v>18</v>
      </c>
      <c r="D83" s="35" t="str">
        <f aca="false">IF(C83&lt;=25,"✓","تجاوز")</f>
        <v>✓</v>
      </c>
      <c r="E83" s="10" t="s">
        <v>604</v>
      </c>
    </row>
    <row r="84" customFormat="false" ht="15" hidden="false" customHeight="false" outlineLevel="0" collapsed="false">
      <c r="A84" s="10" t="s">
        <v>607</v>
      </c>
      <c r="B84" s="10" t="s">
        <v>704</v>
      </c>
      <c r="C84" s="35" t="n">
        <f aca="false">LEN(B84)</f>
        <v>17</v>
      </c>
      <c r="D84" s="35" t="str">
        <f aca="false">IF(C84&lt;=25,"✓","تجاوز")</f>
        <v>✓</v>
      </c>
      <c r="E84" s="10" t="s">
        <v>604</v>
      </c>
    </row>
    <row r="85" customFormat="false" ht="15" hidden="false" customHeight="false" outlineLevel="0" collapsed="false">
      <c r="A85" s="10" t="s">
        <v>608</v>
      </c>
      <c r="B85" s="10" t="s">
        <v>603</v>
      </c>
      <c r="C85" s="35" t="n">
        <f aca="false">LEN(B85)</f>
        <v>9</v>
      </c>
      <c r="D85" s="35" t="str">
        <f aca="false">IF(C85&lt;=25,"✓","تجاوز")</f>
        <v>✓</v>
      </c>
      <c r="E85" s="10" t="s">
        <v>604</v>
      </c>
    </row>
    <row r="86" customFormat="false" ht="15" hidden="false" customHeight="false" outlineLevel="0" collapsed="false">
      <c r="A86" s="10" t="s">
        <v>610</v>
      </c>
      <c r="B86" s="10" t="s">
        <v>744</v>
      </c>
      <c r="C86" s="35" t="n">
        <f aca="false">LEN(B86)</f>
        <v>14</v>
      </c>
      <c r="D86" s="35" t="str">
        <f aca="false">IF(C86&lt;=25,"✓","تجاوز")</f>
        <v>✓</v>
      </c>
      <c r="E86" s="10" t="s">
        <v>604</v>
      </c>
    </row>
    <row r="87" customFormat="false" ht="15" hidden="false" customHeight="false" outlineLevel="0" collapsed="false">
      <c r="A87" s="10" t="s">
        <v>612</v>
      </c>
      <c r="B87" s="10" t="s">
        <v>613</v>
      </c>
      <c r="C87" s="35" t="n">
        <f aca="false">LEN(B87)</f>
        <v>18</v>
      </c>
      <c r="D87" s="35" t="str">
        <f aca="false">IF(C87&lt;=25,"✓","تجاوز")</f>
        <v>✓</v>
      </c>
      <c r="E87" s="10" t="s">
        <v>604</v>
      </c>
    </row>
    <row r="89" customFormat="false" ht="15" hidden="false" customHeight="false" outlineLevel="0" collapsed="false">
      <c r="A89" s="34" t="s">
        <v>614</v>
      </c>
    </row>
    <row r="90" customFormat="false" ht="15" hidden="false" customHeight="false" outlineLevel="0" collapsed="false">
      <c r="A90" s="9" t="s">
        <v>312</v>
      </c>
      <c r="B90" s="9" t="s">
        <v>485</v>
      </c>
      <c r="C90" s="9" t="s">
        <v>486</v>
      </c>
      <c r="D90" s="9" t="s">
        <v>615</v>
      </c>
      <c r="E90" s="9" t="s">
        <v>234</v>
      </c>
    </row>
    <row r="91" customFormat="false" ht="15" hidden="false" customHeight="false" outlineLevel="0" collapsed="false">
      <c r="A91" s="10" t="s">
        <v>616</v>
      </c>
      <c r="B91" s="10" t="s">
        <v>745</v>
      </c>
      <c r="C91" s="35" t="n">
        <f aca="false">LEN(B91)</f>
        <v>16</v>
      </c>
      <c r="D91" s="35" t="str">
        <f aca="false">IF(C91&lt;=35,"✓","تجاوز")</f>
        <v>✓</v>
      </c>
      <c r="E91" s="10"/>
    </row>
    <row r="92" customFormat="false" ht="15" hidden="false" customHeight="false" outlineLevel="0" collapsed="false">
      <c r="A92" s="10" t="s">
        <v>618</v>
      </c>
      <c r="B92" s="10" t="s">
        <v>746</v>
      </c>
      <c r="C92" s="35" t="n">
        <f aca="false">LEN(B92)</f>
        <v>16</v>
      </c>
      <c r="D92" s="35" t="str">
        <f aca="false">IF(C92&lt;=35,"✓","تجاوز")</f>
        <v>✓</v>
      </c>
      <c r="E92" s="10"/>
    </row>
    <row r="93" customFormat="false" ht="15" hidden="false" customHeight="false" outlineLevel="0" collapsed="false">
      <c r="A93" s="10" t="s">
        <v>620</v>
      </c>
      <c r="B93" s="10" t="s">
        <v>747</v>
      </c>
      <c r="C93" s="35" t="n">
        <f aca="false">LEN(B93)</f>
        <v>17</v>
      </c>
      <c r="D93" s="35" t="str">
        <f aca="false">IF(C93&lt;=35,"✓","تجاوز")</f>
        <v>✓</v>
      </c>
      <c r="E93" s="10"/>
    </row>
    <row r="94" customFormat="false" ht="15" hidden="false" customHeight="false" outlineLevel="0" collapsed="false">
      <c r="A94" s="10" t="s">
        <v>622</v>
      </c>
      <c r="B94" s="10" t="s">
        <v>748</v>
      </c>
      <c r="C94" s="35" t="n">
        <f aca="false">LEN(B94)</f>
        <v>19</v>
      </c>
      <c r="D94" s="35" t="str">
        <f aca="false">IF(C94&lt;=35,"✓","تجاوز")</f>
        <v>✓</v>
      </c>
      <c r="E94" s="10"/>
    </row>
    <row r="95" customFormat="false" ht="15" hidden="false" customHeight="false" outlineLevel="0" collapsed="false">
      <c r="A95" s="10" t="s">
        <v>624</v>
      </c>
      <c r="B95" s="10" t="s">
        <v>749</v>
      </c>
      <c r="C95" s="35" t="n">
        <f aca="false">LEN(B95)</f>
        <v>14</v>
      </c>
      <c r="D95" s="35" t="str">
        <f aca="false">IF(C95&lt;=35,"✓","تجاوز")</f>
        <v>✓</v>
      </c>
      <c r="E95" s="10"/>
    </row>
    <row r="96" customFormat="false" ht="15" hidden="false" customHeight="false" outlineLevel="0" collapsed="false">
      <c r="A96" s="10" t="s">
        <v>626</v>
      </c>
      <c r="B96" s="10" t="s">
        <v>750</v>
      </c>
      <c r="C96" s="35" t="n">
        <f aca="false">LEN(B96)</f>
        <v>16</v>
      </c>
      <c r="D96" s="35" t="str">
        <f aca="false">IF(C96&lt;=35,"✓","تجاوز")</f>
        <v>✓</v>
      </c>
      <c r="E96" s="10"/>
    </row>
    <row r="97" customFormat="false" ht="15" hidden="false" customHeight="false" outlineLevel="0" collapsed="false">
      <c r="A97" s="10" t="s">
        <v>385</v>
      </c>
      <c r="B97" s="10" t="s">
        <v>617</v>
      </c>
      <c r="C97" s="35" t="n">
        <f aca="false">LEN(B97)</f>
        <v>13</v>
      </c>
      <c r="D97" s="35" t="str">
        <f aca="false">IF(C97&lt;=35,"✓","تجاوز")</f>
        <v>✓</v>
      </c>
      <c r="E97" s="10"/>
    </row>
    <row r="98" customFormat="false" ht="15" hidden="false" customHeight="false" outlineLevel="0" collapsed="false">
      <c r="A98" s="10" t="s">
        <v>629</v>
      </c>
      <c r="B98" s="10" t="s">
        <v>751</v>
      </c>
      <c r="C98" s="35" t="n">
        <f aca="false">LEN(B98)</f>
        <v>10</v>
      </c>
      <c r="D98" s="35" t="str">
        <f aca="false">IF(C98&lt;=35,"✓","تجاوز")</f>
        <v>✓</v>
      </c>
      <c r="E98" s="10"/>
    </row>
    <row r="99" customFormat="false" ht="15" hidden="false" customHeight="false" outlineLevel="0" collapsed="false">
      <c r="A99" s="10" t="s">
        <v>631</v>
      </c>
      <c r="B99" s="10" t="s">
        <v>621</v>
      </c>
      <c r="C99" s="35" t="n">
        <f aca="false">LEN(B99)</f>
        <v>10</v>
      </c>
      <c r="D99" s="35" t="str">
        <f aca="false">IF(C99&lt;=35,"✓","تجاوز")</f>
        <v>✓</v>
      </c>
      <c r="E99" s="10"/>
    </row>
    <row r="100" customFormat="false" ht="15" hidden="false" customHeight="false" outlineLevel="0" collapsed="false">
      <c r="A100" s="10" t="s">
        <v>633</v>
      </c>
      <c r="B100" s="10" t="s">
        <v>752</v>
      </c>
      <c r="C100" s="35" t="n">
        <f aca="false">LEN(B100)</f>
        <v>12</v>
      </c>
      <c r="D100" s="35" t="str">
        <f aca="false">IF(C100&lt;=35,"✓","تجاوز")</f>
        <v>✓</v>
      </c>
      <c r="E100" s="10"/>
    </row>
    <row r="101" customFormat="false" ht="15" hidden="false" customHeight="false" outlineLevel="0" collapsed="false">
      <c r="A101" s="10" t="s">
        <v>635</v>
      </c>
      <c r="B101" s="10" t="s">
        <v>753</v>
      </c>
      <c r="C101" s="35" t="n">
        <f aca="false">LEN(B101)</f>
        <v>10</v>
      </c>
      <c r="D101" s="35" t="str">
        <f aca="false">IF(C101&lt;=35,"✓","تجاوز")</f>
        <v>✓</v>
      </c>
      <c r="E101" s="10"/>
    </row>
    <row r="102" customFormat="false" ht="15" hidden="false" customHeight="false" outlineLevel="0" collapsed="false">
      <c r="A102" s="10" t="s">
        <v>637</v>
      </c>
      <c r="B102" s="10" t="s">
        <v>754</v>
      </c>
      <c r="C102" s="35" t="n">
        <f aca="false">LEN(B102)</f>
        <v>17</v>
      </c>
      <c r="D102" s="35" t="str">
        <f aca="false">IF(C102&lt;=35,"✓","تجاوز")</f>
        <v>✓</v>
      </c>
      <c r="E102" s="10"/>
    </row>
    <row r="104" customFormat="false" ht="15" hidden="false" customHeight="false" outlineLevel="0" collapsed="false">
      <c r="A104" s="34" t="s">
        <v>639</v>
      </c>
    </row>
    <row r="105" customFormat="false" ht="15" hidden="false" customHeight="false" outlineLevel="0" collapsed="false">
      <c r="A105" s="9" t="s">
        <v>312</v>
      </c>
      <c r="B105" s="9" t="s">
        <v>485</v>
      </c>
      <c r="C105" s="9" t="s">
        <v>486</v>
      </c>
      <c r="D105" s="9" t="s">
        <v>601</v>
      </c>
      <c r="E105" s="9" t="s">
        <v>234</v>
      </c>
    </row>
    <row r="106" customFormat="false" ht="15" hidden="false" customHeight="false" outlineLevel="0" collapsed="false">
      <c r="A106" s="10" t="s">
        <v>364</v>
      </c>
      <c r="B106" s="10" t="s">
        <v>755</v>
      </c>
      <c r="C106" s="35" t="n">
        <f aca="false">LEN(B106)</f>
        <v>16</v>
      </c>
      <c r="D106" s="35" t="str">
        <f aca="false">IF(C106&lt;=25,"✓","تجاوز")</f>
        <v>✓</v>
      </c>
      <c r="E106" s="10"/>
    </row>
    <row r="107" customFormat="false" ht="15" hidden="false" customHeight="false" outlineLevel="0" collapsed="false">
      <c r="A107" s="10" t="s">
        <v>640</v>
      </c>
      <c r="B107" s="10" t="s">
        <v>702</v>
      </c>
      <c r="C107" s="35" t="n">
        <f aca="false">LEN(B107)</f>
        <v>20</v>
      </c>
      <c r="D107" s="35" t="str">
        <f aca="false">IF(C107&lt;=25,"✓","تجاوز")</f>
        <v>✓</v>
      </c>
      <c r="E107" s="10"/>
    </row>
    <row r="108" customFormat="false" ht="15" hidden="false" customHeight="false" outlineLevel="0" collapsed="false">
      <c r="A108" s="10" t="s">
        <v>641</v>
      </c>
      <c r="B108" s="10" t="s">
        <v>699</v>
      </c>
      <c r="C108" s="35" t="n">
        <f aca="false">LEN(B108)</f>
        <v>20</v>
      </c>
      <c r="D108" s="35" t="str">
        <f aca="false">IF(C108&lt;=25,"✓","تجاوز")</f>
        <v>✓</v>
      </c>
      <c r="E108" s="10"/>
    </row>
    <row r="109" customFormat="false" ht="15" hidden="false" customHeight="false" outlineLevel="0" collapsed="false">
      <c r="A109" s="10" t="s">
        <v>642</v>
      </c>
      <c r="B109" s="10" t="s">
        <v>500</v>
      </c>
      <c r="C109" s="35" t="n">
        <f aca="false">LEN(B109)</f>
        <v>21</v>
      </c>
      <c r="D109" s="35" t="str">
        <f aca="false">IF(C109&lt;=25,"✓","تجاوز")</f>
        <v>✓</v>
      </c>
      <c r="E109" s="10"/>
    </row>
    <row r="110" customFormat="false" ht="15" hidden="false" customHeight="false" outlineLevel="0" collapsed="false">
      <c r="A110" s="10" t="s">
        <v>643</v>
      </c>
      <c r="B110" s="10" t="s">
        <v>756</v>
      </c>
      <c r="C110" s="35" t="n">
        <f aca="false">LEN(B110)</f>
        <v>16</v>
      </c>
      <c r="D110" s="35" t="str">
        <f aca="false">IF(C110&lt;=25,"✓","تجاوز")</f>
        <v>✓</v>
      </c>
      <c r="E110" s="10"/>
    </row>
    <row r="111" customFormat="false" ht="15" hidden="false" customHeight="false" outlineLevel="0" collapsed="false">
      <c r="A111" s="10" t="s">
        <v>645</v>
      </c>
      <c r="B111" s="10" t="s">
        <v>757</v>
      </c>
      <c r="C111" s="35" t="n">
        <f aca="false">LEN(B111)</f>
        <v>14</v>
      </c>
      <c r="D111" s="35" t="str">
        <f aca="false">IF(C111&lt;=25,"✓","تجاوز")</f>
        <v>✓</v>
      </c>
      <c r="E111" s="10"/>
    </row>
    <row r="112" customFormat="false" ht="15" hidden="false" customHeight="false" outlineLevel="0" collapsed="false">
      <c r="A112" s="10" t="s">
        <v>646</v>
      </c>
      <c r="B112" s="10" t="s">
        <v>758</v>
      </c>
      <c r="C112" s="35" t="n">
        <f aca="false">LEN(B112)</f>
        <v>16</v>
      </c>
      <c r="D112" s="35" t="str">
        <f aca="false">IF(C112&lt;=25,"✓","تجاوز")</f>
        <v>✓</v>
      </c>
      <c r="E112" s="10"/>
    </row>
    <row r="113" customFormat="false" ht="15" hidden="false" customHeight="false" outlineLevel="0" collapsed="false">
      <c r="A113" s="10" t="s">
        <v>647</v>
      </c>
      <c r="B113" s="10" t="s">
        <v>759</v>
      </c>
      <c r="C113" s="35" t="n">
        <f aca="false">LEN(B113)</f>
        <v>21</v>
      </c>
      <c r="D113" s="35" t="str">
        <f aca="false">IF(C113&lt;=25,"✓","تجاوز")</f>
        <v>✓</v>
      </c>
      <c r="E113" s="10"/>
    </row>
    <row r="115" customFormat="false" ht="15" hidden="false" customHeight="false" outlineLevel="0" collapsed="false">
      <c r="A115" s="34" t="s">
        <v>649</v>
      </c>
    </row>
    <row r="116" customFormat="false" ht="15" hidden="false" customHeight="false" outlineLevel="0" collapsed="false">
      <c r="A116" s="9" t="s">
        <v>312</v>
      </c>
      <c r="B116" s="9" t="s">
        <v>485</v>
      </c>
      <c r="C116" s="9" t="s">
        <v>486</v>
      </c>
      <c r="D116" s="9" t="s">
        <v>601</v>
      </c>
      <c r="E116" s="9" t="s">
        <v>234</v>
      </c>
    </row>
    <row r="117" customFormat="false" ht="15" hidden="false" customHeight="false" outlineLevel="0" collapsed="false">
      <c r="A117" s="10" t="s">
        <v>650</v>
      </c>
      <c r="B117" s="10" t="s">
        <v>651</v>
      </c>
      <c r="C117" s="35" t="n">
        <f aca="false">LEN(B117)</f>
        <v>12</v>
      </c>
      <c r="D117" s="35" t="str">
        <f aca="false">IF(C117&lt;=25,"✓","تجاوز")</f>
        <v>✓</v>
      </c>
      <c r="E117" s="10" t="s">
        <v>652</v>
      </c>
    </row>
    <row r="118" customFormat="false" ht="15" hidden="false" customHeight="false" outlineLevel="0" collapsed="false">
      <c r="A118" s="10" t="s">
        <v>653</v>
      </c>
      <c r="B118" s="10" t="s">
        <v>654</v>
      </c>
      <c r="C118" s="35" t="n">
        <f aca="false">LEN(B118)</f>
        <v>9</v>
      </c>
      <c r="D118" s="35" t="str">
        <f aca="false">IF(C118&lt;=25,"✓","تجاوز")</f>
        <v>✓</v>
      </c>
      <c r="E118" s="10" t="s">
        <v>652</v>
      </c>
    </row>
    <row r="119" customFormat="false" ht="15" hidden="false" customHeight="false" outlineLevel="0" collapsed="false">
      <c r="A119" s="10" t="s">
        <v>655</v>
      </c>
      <c r="B119" s="10" t="s">
        <v>760</v>
      </c>
      <c r="C119" s="35" t="n">
        <f aca="false">LEN(B119)</f>
        <v>11</v>
      </c>
      <c r="D119" s="35" t="str">
        <f aca="false">IF(C119&lt;=25,"✓","تجاوز")</f>
        <v>✓</v>
      </c>
      <c r="E119" s="10" t="s">
        <v>652</v>
      </c>
    </row>
    <row r="120" customFormat="false" ht="15" hidden="false" customHeight="false" outlineLevel="0" collapsed="false">
      <c r="A120" s="10" t="s">
        <v>657</v>
      </c>
      <c r="B120" s="10" t="s">
        <v>761</v>
      </c>
      <c r="C120" s="35" t="n">
        <f aca="false">LEN(B120)</f>
        <v>10</v>
      </c>
      <c r="D120" s="35" t="str">
        <f aca="false">IF(C120&lt;=25,"✓","تجاوز")</f>
        <v>✓</v>
      </c>
      <c r="E120" s="10" t="s">
        <v>652</v>
      </c>
    </row>
    <row r="121" customFormat="false" ht="15" hidden="false" customHeight="false" outlineLevel="0" collapsed="false">
      <c r="A121" s="10" t="s">
        <v>659</v>
      </c>
      <c r="B121" s="10" t="s">
        <v>660</v>
      </c>
      <c r="C121" s="35" t="n">
        <f aca="false">LEN(B121)</f>
        <v>12</v>
      </c>
      <c r="D121" s="35" t="str">
        <f aca="false">IF(C121&lt;=25,"✓","تجاوز")</f>
        <v>✓</v>
      </c>
      <c r="E121" s="10" t="s">
        <v>652</v>
      </c>
    </row>
    <row r="123" customFormat="false" ht="15" hidden="false" customHeight="false" outlineLevel="0" collapsed="false">
      <c r="A123" s="34" t="s">
        <v>661</v>
      </c>
    </row>
    <row r="124" customFormat="false" ht="15" hidden="false" customHeight="false" outlineLevel="0" collapsed="false">
      <c r="A124" s="9" t="s">
        <v>312</v>
      </c>
      <c r="B124" s="9" t="s">
        <v>485</v>
      </c>
      <c r="C124" s="9" t="s">
        <v>486</v>
      </c>
      <c r="D124" s="9" t="s">
        <v>601</v>
      </c>
      <c r="E124" s="9" t="s">
        <v>234</v>
      </c>
    </row>
    <row r="125" customFormat="false" ht="15" hidden="false" customHeight="false" outlineLevel="0" collapsed="false">
      <c r="A125" s="10" t="s">
        <v>650</v>
      </c>
      <c r="B125" s="10" t="s">
        <v>662</v>
      </c>
      <c r="C125" s="35" t="n">
        <f aca="false">LEN(B125)</f>
        <v>8</v>
      </c>
      <c r="D125" s="35" t="str">
        <f aca="false">IF(C125&lt;=25,"✓","تجاوز")</f>
        <v>✓</v>
      </c>
      <c r="E125" s="10" t="s">
        <v>663</v>
      </c>
    </row>
    <row r="126" customFormat="false" ht="15" hidden="false" customHeight="false" outlineLevel="0" collapsed="false">
      <c r="A126" s="10" t="s">
        <v>653</v>
      </c>
      <c r="B126" s="10" t="s">
        <v>664</v>
      </c>
      <c r="C126" s="35" t="n">
        <f aca="false">LEN(B126)</f>
        <v>6</v>
      </c>
      <c r="D126" s="35" t="str">
        <f aca="false">IF(C126&lt;=25,"✓","تجاوز")</f>
        <v>✓</v>
      </c>
      <c r="E126" s="10" t="s">
        <v>663</v>
      </c>
    </row>
    <row r="127" customFormat="false" ht="15" hidden="false" customHeight="false" outlineLevel="0" collapsed="false">
      <c r="A127" s="10" t="s">
        <v>655</v>
      </c>
      <c r="B127" s="10" t="s">
        <v>665</v>
      </c>
      <c r="C127" s="35" t="n">
        <f aca="false">LEN(B127)</f>
        <v>6</v>
      </c>
      <c r="D127" s="35" t="str">
        <f aca="false">IF(C127&lt;=25,"✓","تجاوز")</f>
        <v>✓</v>
      </c>
      <c r="E127" s="10" t="s">
        <v>663</v>
      </c>
    </row>
    <row r="128" customFormat="false" ht="15" hidden="false" customHeight="false" outlineLevel="0" collapsed="false">
      <c r="A128" s="10" t="s">
        <v>657</v>
      </c>
      <c r="B128" s="10" t="s">
        <v>666</v>
      </c>
      <c r="C128" s="35" t="n">
        <f aca="false">LEN(B128)</f>
        <v>6</v>
      </c>
      <c r="D128" s="35" t="str">
        <f aca="false">IF(C128&lt;=25,"✓","تجاوز")</f>
        <v>✓</v>
      </c>
      <c r="E128" s="10" t="s">
        <v>663</v>
      </c>
    </row>
    <row r="129" customFormat="false" ht="15" hidden="false" customHeight="false" outlineLevel="0" collapsed="false">
      <c r="A129" s="10" t="s">
        <v>659</v>
      </c>
      <c r="B129" s="10" t="s">
        <v>667</v>
      </c>
      <c r="C129" s="35" t="n">
        <f aca="false">LEN(B129)</f>
        <v>7</v>
      </c>
      <c r="D129" s="35" t="str">
        <f aca="false">IF(C129&lt;=25,"✓","تجاوز")</f>
        <v>✓</v>
      </c>
      <c r="E129" s="10" t="s">
        <v>663</v>
      </c>
    </row>
    <row r="130" customFormat="false" ht="15" hidden="false" customHeight="false" outlineLevel="0" collapsed="false">
      <c r="A130" s="10" t="s">
        <v>668</v>
      </c>
      <c r="B130" s="10" t="s">
        <v>669</v>
      </c>
      <c r="C130" s="35" t="n">
        <f aca="false">LEN(B130)</f>
        <v>8</v>
      </c>
      <c r="D130" s="35" t="str">
        <f aca="false">IF(C130&lt;=25,"✓","تجاوز")</f>
        <v>✓</v>
      </c>
      <c r="E130" s="10" t="s">
        <v>663</v>
      </c>
    </row>
    <row r="131" customFormat="false" ht="15" hidden="false" customHeight="false" outlineLevel="0" collapsed="false">
      <c r="A131" s="10" t="s">
        <v>670</v>
      </c>
      <c r="B131" s="10" t="s">
        <v>671</v>
      </c>
      <c r="C131" s="35" t="n">
        <f aca="false">LEN(B131)</f>
        <v>4</v>
      </c>
      <c r="D131" s="35" t="str">
        <f aca="false">IF(C131&lt;=25,"✓","تجاوز")</f>
        <v>✓</v>
      </c>
      <c r="E131" s="10" t="s">
        <v>663</v>
      </c>
    </row>
    <row r="133" customFormat="false" ht="15" hidden="false" customHeight="false" outlineLevel="0" collapsed="false">
      <c r="A133" s="34" t="s">
        <v>672</v>
      </c>
    </row>
    <row r="134" customFormat="false" ht="15" hidden="false" customHeight="false" outlineLevel="0" collapsed="false">
      <c r="A134" s="9" t="s">
        <v>673</v>
      </c>
      <c r="B134" s="9" t="s">
        <v>233</v>
      </c>
      <c r="C134" s="9"/>
      <c r="D134" s="9"/>
      <c r="E134" s="9" t="s">
        <v>234</v>
      </c>
    </row>
    <row r="135" customFormat="false" ht="15" hidden="false" customHeight="false" outlineLevel="0" collapsed="false">
      <c r="A135" s="10" t="s">
        <v>674</v>
      </c>
      <c r="B135" s="10" t="s">
        <v>675</v>
      </c>
      <c r="C135" s="10"/>
      <c r="D135" s="10"/>
      <c r="E135" s="10" t="s">
        <v>676</v>
      </c>
    </row>
    <row r="136" customFormat="false" ht="15" hidden="false" customHeight="false" outlineLevel="0" collapsed="false">
      <c r="A136" s="10" t="s">
        <v>677</v>
      </c>
      <c r="B136" s="10" t="s">
        <v>678</v>
      </c>
      <c r="C136" s="10"/>
      <c r="D136" s="10"/>
      <c r="E136" s="10" t="s">
        <v>679</v>
      </c>
    </row>
    <row r="137" customFormat="false" ht="15" hidden="false" customHeight="false" outlineLevel="0" collapsed="false">
      <c r="A137" s="10" t="s">
        <v>680</v>
      </c>
      <c r="B137" s="10" t="s">
        <v>681</v>
      </c>
      <c r="C137" s="10"/>
      <c r="D137" s="10"/>
      <c r="E137" s="10" t="s">
        <v>682</v>
      </c>
    </row>
    <row r="138" customFormat="false" ht="15" hidden="false" customHeight="false" outlineLevel="0" collapsed="false">
      <c r="A138" s="10" t="s">
        <v>683</v>
      </c>
      <c r="B138" s="10" t="s">
        <v>684</v>
      </c>
      <c r="C138" s="10"/>
      <c r="D138" s="10"/>
      <c r="E138" s="10" t="s">
        <v>685</v>
      </c>
    </row>
    <row r="139" customFormat="false" ht="15" hidden="false" customHeight="false" outlineLevel="0" collapsed="false">
      <c r="A139" s="10" t="s">
        <v>686</v>
      </c>
      <c r="B139" s="10" t="s">
        <v>687</v>
      </c>
      <c r="C139" s="10"/>
      <c r="D139" s="10"/>
      <c r="E139" s="10" t="s">
        <v>688</v>
      </c>
    </row>
    <row r="140" customFormat="false" ht="23.85" hidden="false" customHeight="false" outlineLevel="0" collapsed="false">
      <c r="A140" s="10" t="s">
        <v>689</v>
      </c>
      <c r="B140" s="10" t="s">
        <v>690</v>
      </c>
      <c r="C140" s="10"/>
      <c r="D140" s="10"/>
      <c r="E140" s="10" t="s">
        <v>691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E14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7" t="s">
        <v>762</v>
      </c>
    </row>
    <row r="2" customFormat="false" ht="34.5" hidden="false" customHeight="true" outlineLevel="0" collapsed="false">
      <c r="A2" s="8" t="s">
        <v>763</v>
      </c>
      <c r="B2" s="8"/>
      <c r="C2" s="8"/>
      <c r="D2" s="8"/>
      <c r="E2" s="8"/>
    </row>
    <row r="4" customFormat="false" ht="15" hidden="false" customHeight="false" outlineLevel="0" collapsed="false">
      <c r="A4" s="34" t="s">
        <v>484</v>
      </c>
    </row>
    <row r="5" customFormat="false" ht="15" hidden="false" customHeight="false" outlineLevel="0" collapsed="false">
      <c r="A5" s="9" t="s">
        <v>312</v>
      </c>
      <c r="B5" s="9" t="s">
        <v>485</v>
      </c>
      <c r="C5" s="9" t="s">
        <v>486</v>
      </c>
      <c r="D5" s="9" t="s">
        <v>487</v>
      </c>
      <c r="E5" s="9" t="s">
        <v>234</v>
      </c>
    </row>
    <row r="6" customFormat="false" ht="15" hidden="false" customHeight="false" outlineLevel="0" collapsed="false">
      <c r="A6" s="10" t="s">
        <v>488</v>
      </c>
      <c r="B6" s="10" t="s">
        <v>489</v>
      </c>
      <c r="C6" s="35" t="n">
        <f aca="false">LEN(B6)</f>
        <v>27</v>
      </c>
      <c r="D6" s="35" t="str">
        <f aca="false">IF(C6&lt;=30,"✓","تجاوز")</f>
        <v>✓</v>
      </c>
      <c r="E6" s="10" t="s">
        <v>490</v>
      </c>
    </row>
    <row r="7" customFormat="false" ht="15" hidden="false" customHeight="false" outlineLevel="0" collapsed="false">
      <c r="A7" s="10" t="s">
        <v>350</v>
      </c>
      <c r="B7" s="10" t="s">
        <v>352</v>
      </c>
      <c r="C7" s="35" t="n">
        <f aca="false">LEN(B7)</f>
        <v>23</v>
      </c>
      <c r="D7" s="35" t="str">
        <f aca="false">IF(C7&lt;=30,"✓","تجاوز")</f>
        <v>✓</v>
      </c>
      <c r="E7" s="10"/>
    </row>
    <row r="8" customFormat="false" ht="15" hidden="false" customHeight="false" outlineLevel="0" collapsed="false">
      <c r="A8" s="10" t="s">
        <v>492</v>
      </c>
      <c r="B8" s="10" t="s">
        <v>764</v>
      </c>
      <c r="C8" s="35" t="n">
        <f aca="false">LEN(B8)</f>
        <v>21</v>
      </c>
      <c r="D8" s="35" t="str">
        <f aca="false">IF(C8&lt;=30,"✓","تجاوز")</f>
        <v>✓</v>
      </c>
      <c r="E8" s="10"/>
    </row>
    <row r="9" customFormat="false" ht="15" hidden="false" customHeight="false" outlineLevel="0" collapsed="false">
      <c r="A9" s="10" t="s">
        <v>494</v>
      </c>
      <c r="B9" s="10" t="s">
        <v>699</v>
      </c>
      <c r="C9" s="35" t="n">
        <f aca="false">LEN(B9)</f>
        <v>20</v>
      </c>
      <c r="D9" s="35" t="str">
        <f aca="false">IF(C9&lt;=30,"✓","تجاوز")</f>
        <v>✓</v>
      </c>
      <c r="E9" s="10"/>
    </row>
    <row r="10" customFormat="false" ht="15" hidden="false" customHeight="false" outlineLevel="0" collapsed="false">
      <c r="A10" s="10" t="s">
        <v>496</v>
      </c>
      <c r="B10" s="10" t="s">
        <v>765</v>
      </c>
      <c r="C10" s="35" t="n">
        <f aca="false">LEN(B10)</f>
        <v>24</v>
      </c>
      <c r="D10" s="35" t="str">
        <f aca="false">IF(C10&lt;=30,"✓","تجاوز")</f>
        <v>✓</v>
      </c>
      <c r="E10" s="10"/>
    </row>
    <row r="11" customFormat="false" ht="15" hidden="false" customHeight="false" outlineLevel="0" collapsed="false">
      <c r="A11" s="10" t="s">
        <v>498</v>
      </c>
      <c r="B11" s="10" t="s">
        <v>766</v>
      </c>
      <c r="C11" s="35" t="n">
        <f aca="false">LEN(B11)</f>
        <v>21</v>
      </c>
      <c r="D11" s="35" t="str">
        <f aca="false">IF(C11&lt;=30,"✓","تجاوز")</f>
        <v>✓</v>
      </c>
      <c r="E11" s="10"/>
    </row>
    <row r="12" customFormat="false" ht="15" hidden="false" customHeight="false" outlineLevel="0" collapsed="false">
      <c r="A12" s="10" t="s">
        <v>405</v>
      </c>
      <c r="B12" s="10" t="s">
        <v>500</v>
      </c>
      <c r="C12" s="35" t="n">
        <f aca="false">LEN(B12)</f>
        <v>21</v>
      </c>
      <c r="D12" s="35" t="str">
        <f aca="false">IF(C12&lt;=30,"✓","تجاوز")</f>
        <v>✓</v>
      </c>
      <c r="E12" s="10"/>
    </row>
    <row r="13" customFormat="false" ht="15" hidden="false" customHeight="false" outlineLevel="0" collapsed="false">
      <c r="A13" s="10" t="s">
        <v>501</v>
      </c>
      <c r="B13" s="10" t="s">
        <v>767</v>
      </c>
      <c r="C13" s="35" t="n">
        <f aca="false">LEN(B13)</f>
        <v>20</v>
      </c>
      <c r="D13" s="35" t="str">
        <f aca="false">IF(C13&lt;=30,"✓","تجاوز")</f>
        <v>✓</v>
      </c>
      <c r="E13" s="10"/>
    </row>
    <row r="14" customFormat="false" ht="15" hidden="false" customHeight="false" outlineLevel="0" collapsed="false">
      <c r="A14" s="10" t="s">
        <v>503</v>
      </c>
      <c r="B14" s="10" t="s">
        <v>768</v>
      </c>
      <c r="C14" s="35" t="n">
        <f aca="false">LEN(B14)</f>
        <v>18</v>
      </c>
      <c r="D14" s="35" t="str">
        <f aca="false">IF(C14&lt;=30,"✓","تجاوز")</f>
        <v>✓</v>
      </c>
      <c r="E14" s="10"/>
    </row>
    <row r="15" customFormat="false" ht="15" hidden="false" customHeight="false" outlineLevel="0" collapsed="false">
      <c r="A15" s="10" t="s">
        <v>505</v>
      </c>
      <c r="B15" s="10" t="s">
        <v>769</v>
      </c>
      <c r="C15" s="35" t="n">
        <f aca="false">LEN(B15)</f>
        <v>18</v>
      </c>
      <c r="D15" s="35" t="str">
        <f aca="false">IF(C15&lt;=30,"✓","تجاوز")</f>
        <v>✓</v>
      </c>
      <c r="E15" s="10"/>
    </row>
    <row r="16" customFormat="false" ht="15" hidden="false" customHeight="false" outlineLevel="0" collapsed="false">
      <c r="A16" s="10" t="s">
        <v>507</v>
      </c>
      <c r="B16" s="10" t="s">
        <v>770</v>
      </c>
      <c r="C16" s="35" t="n">
        <f aca="false">LEN(B16)</f>
        <v>27</v>
      </c>
      <c r="D16" s="35" t="str">
        <f aca="false">IF(C16&lt;=30,"✓","تجاوز")</f>
        <v>✓</v>
      </c>
      <c r="E16" s="10"/>
    </row>
    <row r="17" customFormat="false" ht="15" hidden="false" customHeight="false" outlineLevel="0" collapsed="false">
      <c r="A17" s="10" t="s">
        <v>317</v>
      </c>
      <c r="B17" s="10" t="s">
        <v>409</v>
      </c>
      <c r="C17" s="35" t="n">
        <f aca="false">LEN(B17)</f>
        <v>14</v>
      </c>
      <c r="D17" s="35" t="str">
        <f aca="false">IF(C17&lt;=30,"✓","تجاوز")</f>
        <v>✓</v>
      </c>
      <c r="E17" s="10"/>
    </row>
    <row r="18" customFormat="false" ht="15" hidden="false" customHeight="false" outlineLevel="0" collapsed="false">
      <c r="A18" s="10" t="s">
        <v>509</v>
      </c>
      <c r="B18" s="10" t="s">
        <v>497</v>
      </c>
      <c r="C18" s="35" t="n">
        <f aca="false">LEN(B18)</f>
        <v>24</v>
      </c>
      <c r="D18" s="35" t="str">
        <f aca="false">IF(C18&lt;=30,"✓","تجاوز")</f>
        <v>✓</v>
      </c>
      <c r="E18" s="10"/>
    </row>
    <row r="19" customFormat="false" ht="15" hidden="false" customHeight="false" outlineLevel="0" collapsed="false">
      <c r="A19" s="10" t="s">
        <v>401</v>
      </c>
      <c r="B19" s="10" t="s">
        <v>771</v>
      </c>
      <c r="C19" s="35" t="n">
        <f aca="false">LEN(B19)</f>
        <v>19</v>
      </c>
      <c r="D19" s="35" t="str">
        <f aca="false">IF(C19&lt;=30,"✓","تجاوز")</f>
        <v>✓</v>
      </c>
      <c r="E19" s="10"/>
    </row>
    <row r="20" customFormat="false" ht="15" hidden="false" customHeight="false" outlineLevel="0" collapsed="false">
      <c r="A20" s="10" t="s">
        <v>511</v>
      </c>
      <c r="B20" s="10" t="s">
        <v>772</v>
      </c>
      <c r="C20" s="35" t="n">
        <f aca="false">LEN(B20)</f>
        <v>18</v>
      </c>
      <c r="D20" s="35" t="str">
        <f aca="false">IF(C20&lt;=30,"✓","تجاوز")</f>
        <v>✓</v>
      </c>
      <c r="E20" s="10"/>
    </row>
    <row r="22" customFormat="false" ht="15" hidden="false" customHeight="false" outlineLevel="0" collapsed="false">
      <c r="A22" s="34" t="s">
        <v>513</v>
      </c>
    </row>
    <row r="23" customFormat="false" ht="15" hidden="false" customHeight="false" outlineLevel="0" collapsed="false">
      <c r="A23" s="9" t="s">
        <v>312</v>
      </c>
      <c r="B23" s="9" t="s">
        <v>485</v>
      </c>
      <c r="C23" s="9" t="s">
        <v>486</v>
      </c>
      <c r="D23" s="9" t="s">
        <v>514</v>
      </c>
      <c r="E23" s="9" t="s">
        <v>234</v>
      </c>
    </row>
    <row r="24" customFormat="false" ht="15" hidden="false" customHeight="false" outlineLevel="0" collapsed="false">
      <c r="A24" s="10" t="s">
        <v>354</v>
      </c>
      <c r="B24" s="10" t="s">
        <v>356</v>
      </c>
      <c r="C24" s="35" t="n">
        <f aca="false">LEN(B24)</f>
        <v>90</v>
      </c>
      <c r="D24" s="35" t="str">
        <f aca="false">IF(C24&lt;=90,"✓","تجاوز")</f>
        <v>✓</v>
      </c>
      <c r="E24" s="10"/>
    </row>
    <row r="25" customFormat="false" ht="15" hidden="false" customHeight="false" outlineLevel="0" collapsed="false">
      <c r="A25" s="10" t="s">
        <v>516</v>
      </c>
      <c r="B25" s="10" t="s">
        <v>773</v>
      </c>
      <c r="C25" s="35" t="n">
        <f aca="false">LEN(B25)</f>
        <v>88</v>
      </c>
      <c r="D25" s="35" t="str">
        <f aca="false">IF(C25&lt;=90,"✓","تجاوز")</f>
        <v>✓</v>
      </c>
      <c r="E25" s="10"/>
    </row>
    <row r="26" customFormat="false" ht="15" hidden="false" customHeight="false" outlineLevel="0" collapsed="false">
      <c r="A26" s="10" t="s">
        <v>358</v>
      </c>
      <c r="B26" s="10" t="s">
        <v>774</v>
      </c>
      <c r="C26" s="35" t="n">
        <f aca="false">LEN(B26)</f>
        <v>90</v>
      </c>
      <c r="D26" s="35" t="str">
        <f aca="false">IF(C26&lt;=90,"✓","تجاوز")</f>
        <v>✓</v>
      </c>
      <c r="E26" s="10"/>
    </row>
    <row r="27" customFormat="false" ht="15" hidden="false" customHeight="false" outlineLevel="0" collapsed="false">
      <c r="A27" s="10" t="s">
        <v>388</v>
      </c>
      <c r="B27" s="10" t="s">
        <v>775</v>
      </c>
      <c r="C27" s="35" t="n">
        <f aca="false">LEN(B27)</f>
        <v>81</v>
      </c>
      <c r="D27" s="35" t="str">
        <f aca="false">IF(C27&lt;=90,"✓","تجاوز")</f>
        <v>✓</v>
      </c>
      <c r="E27" s="10"/>
    </row>
    <row r="29" customFormat="false" ht="15" hidden="false" customHeight="false" outlineLevel="0" collapsed="false">
      <c r="A29" s="34" t="s">
        <v>520</v>
      </c>
    </row>
    <row r="30" customFormat="false" ht="15" hidden="false" customHeight="false" outlineLevel="0" collapsed="false">
      <c r="A30" s="9" t="s">
        <v>157</v>
      </c>
      <c r="B30" s="9" t="s">
        <v>485</v>
      </c>
      <c r="C30" s="9" t="s">
        <v>486</v>
      </c>
      <c r="D30" s="9" t="s">
        <v>487</v>
      </c>
      <c r="E30" s="9" t="s">
        <v>234</v>
      </c>
    </row>
    <row r="31" customFormat="false" ht="15" hidden="false" customHeight="false" outlineLevel="0" collapsed="false">
      <c r="A31" s="10" t="s">
        <v>521</v>
      </c>
      <c r="B31" s="10" t="s">
        <v>522</v>
      </c>
      <c r="C31" s="35" t="n">
        <f aca="false">LEN(B31)</f>
        <v>19</v>
      </c>
      <c r="D31" s="35" t="str">
        <f aca="false">IF(C31&lt;=30,"✓","تجاوز")</f>
        <v>✓</v>
      </c>
      <c r="E31" s="10" t="s">
        <v>523</v>
      </c>
    </row>
    <row r="32" customFormat="false" ht="15" hidden="false" customHeight="false" outlineLevel="0" collapsed="false">
      <c r="A32" s="10" t="s">
        <v>524</v>
      </c>
      <c r="B32" s="10" t="s">
        <v>776</v>
      </c>
      <c r="C32" s="35" t="n">
        <f aca="false">LEN(B32)</f>
        <v>21</v>
      </c>
      <c r="D32" s="35" t="str">
        <f aca="false">IF(C32&lt;=30,"✓","تجاوز")</f>
        <v>✓</v>
      </c>
      <c r="E32" s="10" t="s">
        <v>523</v>
      </c>
    </row>
    <row r="33" customFormat="false" ht="15" hidden="false" customHeight="false" outlineLevel="0" collapsed="false">
      <c r="A33" s="10" t="s">
        <v>526</v>
      </c>
      <c r="B33" s="10" t="s">
        <v>777</v>
      </c>
      <c r="C33" s="35" t="n">
        <f aca="false">LEN(B33)</f>
        <v>20</v>
      </c>
      <c r="D33" s="35" t="str">
        <f aca="false">IF(C33&lt;=30,"✓","تجاوز")</f>
        <v>✓</v>
      </c>
      <c r="E33" s="10" t="s">
        <v>523</v>
      </c>
    </row>
    <row r="34" customFormat="false" ht="15" hidden="false" customHeight="false" outlineLevel="0" collapsed="false">
      <c r="A34" s="10" t="s">
        <v>528</v>
      </c>
      <c r="B34" s="10" t="s">
        <v>778</v>
      </c>
      <c r="C34" s="35" t="n">
        <f aca="false">LEN(B34)</f>
        <v>21</v>
      </c>
      <c r="D34" s="35" t="str">
        <f aca="false">IF(C34&lt;=30,"✓","تجاوز")</f>
        <v>✓</v>
      </c>
      <c r="E34" s="10" t="s">
        <v>523</v>
      </c>
    </row>
    <row r="35" customFormat="false" ht="15" hidden="false" customHeight="false" outlineLevel="0" collapsed="false">
      <c r="A35" s="10" t="s">
        <v>530</v>
      </c>
      <c r="B35" s="10" t="s">
        <v>531</v>
      </c>
      <c r="C35" s="35" t="n">
        <f aca="false">LEN(B35)</f>
        <v>23</v>
      </c>
      <c r="D35" s="35" t="str">
        <f aca="false">IF(C35&lt;=30,"✓","تجاوز")</f>
        <v>✓</v>
      </c>
      <c r="E35" s="10" t="s">
        <v>523</v>
      </c>
    </row>
    <row r="36" customFormat="false" ht="15" hidden="false" customHeight="false" outlineLevel="0" collapsed="false">
      <c r="A36" s="10" t="s">
        <v>532</v>
      </c>
      <c r="B36" s="10" t="s">
        <v>533</v>
      </c>
      <c r="C36" s="35" t="n">
        <f aca="false">LEN(B36)</f>
        <v>26</v>
      </c>
      <c r="D36" s="35" t="str">
        <f aca="false">IF(C36&lt;=30,"✓","تجاوز")</f>
        <v>✓</v>
      </c>
      <c r="E36" s="10" t="s">
        <v>523</v>
      </c>
    </row>
    <row r="37" customFormat="false" ht="15" hidden="false" customHeight="false" outlineLevel="0" collapsed="false">
      <c r="A37" s="10" t="s">
        <v>534</v>
      </c>
      <c r="B37" s="10" t="s">
        <v>779</v>
      </c>
      <c r="C37" s="35" t="n">
        <f aca="false">LEN(B37)</f>
        <v>26</v>
      </c>
      <c r="D37" s="35" t="str">
        <f aca="false">IF(C37&lt;=30,"✓","تجاوز")</f>
        <v>✓</v>
      </c>
      <c r="E37" s="10" t="s">
        <v>523</v>
      </c>
    </row>
    <row r="38" customFormat="false" ht="15" hidden="false" customHeight="false" outlineLevel="0" collapsed="false">
      <c r="A38" s="10" t="s">
        <v>535</v>
      </c>
      <c r="B38" s="10" t="s">
        <v>538</v>
      </c>
      <c r="C38" s="35" t="n">
        <f aca="false">LEN(B38)</f>
        <v>23</v>
      </c>
      <c r="D38" s="35" t="str">
        <f aca="false">IF(C38&lt;=30,"✓","تجاوز")</f>
        <v>✓</v>
      </c>
      <c r="E38" s="10" t="s">
        <v>523</v>
      </c>
    </row>
    <row r="39" customFormat="false" ht="15" hidden="false" customHeight="false" outlineLevel="0" collapsed="false">
      <c r="A39" s="10" t="s">
        <v>537</v>
      </c>
      <c r="B39" s="10" t="s">
        <v>780</v>
      </c>
      <c r="C39" s="35" t="n">
        <f aca="false">LEN(B39)</f>
        <v>19</v>
      </c>
      <c r="D39" s="35" t="str">
        <f aca="false">IF(C39&lt;=30,"✓","تجاوز")</f>
        <v>✓</v>
      </c>
      <c r="E39" s="10" t="s">
        <v>523</v>
      </c>
    </row>
    <row r="40" customFormat="false" ht="15" hidden="false" customHeight="false" outlineLevel="0" collapsed="false">
      <c r="A40" s="10" t="s">
        <v>539</v>
      </c>
      <c r="B40" s="10" t="s">
        <v>495</v>
      </c>
      <c r="C40" s="35" t="n">
        <f aca="false">LEN(B40)</f>
        <v>20</v>
      </c>
      <c r="D40" s="35" t="str">
        <f aca="false">IF(C40&lt;=30,"✓","تجاوز")</f>
        <v>✓</v>
      </c>
      <c r="E40" s="10" t="s">
        <v>523</v>
      </c>
    </row>
    <row r="41" customFormat="false" ht="15" hidden="false" customHeight="false" outlineLevel="0" collapsed="false">
      <c r="A41" s="10" t="s">
        <v>540</v>
      </c>
      <c r="B41" s="10" t="s">
        <v>781</v>
      </c>
      <c r="C41" s="35" t="n">
        <f aca="false">LEN(B41)</f>
        <v>22</v>
      </c>
      <c r="D41" s="35" t="str">
        <f aca="false">IF(C41&lt;=30,"✓","تجاوز")</f>
        <v>✓</v>
      </c>
      <c r="E41" s="10" t="s">
        <v>523</v>
      </c>
    </row>
    <row r="42" customFormat="false" ht="15" hidden="false" customHeight="false" outlineLevel="0" collapsed="false">
      <c r="A42" s="10" t="s">
        <v>542</v>
      </c>
      <c r="B42" s="10" t="s">
        <v>782</v>
      </c>
      <c r="C42" s="35" t="n">
        <f aca="false">LEN(B42)</f>
        <v>18</v>
      </c>
      <c r="D42" s="35" t="str">
        <f aca="false">IF(C42&lt;=30,"✓","تجاوز")</f>
        <v>✓</v>
      </c>
      <c r="E42" s="10" t="s">
        <v>523</v>
      </c>
    </row>
    <row r="43" customFormat="false" ht="15" hidden="false" customHeight="false" outlineLevel="0" collapsed="false">
      <c r="A43" s="10" t="s">
        <v>544</v>
      </c>
      <c r="B43" s="10" t="s">
        <v>783</v>
      </c>
      <c r="C43" s="35" t="n">
        <f aca="false">LEN(B43)</f>
        <v>16</v>
      </c>
      <c r="D43" s="35" t="str">
        <f aca="false">IF(C43&lt;=30,"✓","تجاوز")</f>
        <v>✓</v>
      </c>
      <c r="E43" s="10" t="s">
        <v>523</v>
      </c>
    </row>
    <row r="44" customFormat="false" ht="15" hidden="false" customHeight="false" outlineLevel="0" collapsed="false">
      <c r="A44" s="10" t="s">
        <v>546</v>
      </c>
      <c r="B44" s="10" t="s">
        <v>547</v>
      </c>
      <c r="C44" s="35" t="n">
        <f aca="false">LEN(B44)</f>
        <v>26</v>
      </c>
      <c r="D44" s="35" t="str">
        <f aca="false">IF(C44&lt;=30,"✓","تجاوز")</f>
        <v>✓</v>
      </c>
      <c r="E44" s="10" t="s">
        <v>523</v>
      </c>
    </row>
    <row r="45" customFormat="false" ht="15" hidden="false" customHeight="false" outlineLevel="0" collapsed="false">
      <c r="A45" s="10" t="s">
        <v>548</v>
      </c>
      <c r="B45" s="10" t="s">
        <v>784</v>
      </c>
      <c r="C45" s="35" t="n">
        <f aca="false">LEN(B45)</f>
        <v>22</v>
      </c>
      <c r="D45" s="35" t="str">
        <f aca="false">IF(C45&lt;=30,"✓","تجاوز")</f>
        <v>✓</v>
      </c>
      <c r="E45" s="10" t="s">
        <v>523</v>
      </c>
    </row>
    <row r="46" customFormat="false" ht="15" hidden="false" customHeight="false" outlineLevel="0" collapsed="false">
      <c r="A46" s="10" t="s">
        <v>550</v>
      </c>
      <c r="B46" s="10" t="s">
        <v>381</v>
      </c>
      <c r="C46" s="35" t="n">
        <f aca="false">LEN(B46)</f>
        <v>24</v>
      </c>
      <c r="D46" s="35" t="str">
        <f aca="false">IF(C46&lt;=30,"✓","تجاوز")</f>
        <v>✓</v>
      </c>
      <c r="E46" s="10" t="s">
        <v>523</v>
      </c>
    </row>
    <row r="47" customFormat="false" ht="15" hidden="false" customHeight="false" outlineLevel="0" collapsed="false">
      <c r="A47" s="10" t="s">
        <v>552</v>
      </c>
      <c r="B47" s="10" t="s">
        <v>785</v>
      </c>
      <c r="C47" s="35" t="n">
        <f aca="false">LEN(B47)</f>
        <v>17</v>
      </c>
      <c r="D47" s="35" t="str">
        <f aca="false">IF(C47&lt;=30,"✓","تجاوز")</f>
        <v>✓</v>
      </c>
      <c r="E47" s="10" t="s">
        <v>523</v>
      </c>
    </row>
    <row r="48" customFormat="false" ht="15" hidden="false" customHeight="false" outlineLevel="0" collapsed="false">
      <c r="A48" s="10" t="s">
        <v>553</v>
      </c>
      <c r="B48" s="10" t="s">
        <v>786</v>
      </c>
      <c r="C48" s="35" t="n">
        <f aca="false">LEN(B48)</f>
        <v>20</v>
      </c>
      <c r="D48" s="35" t="str">
        <f aca="false">IF(C48&lt;=30,"✓","تجاوز")</f>
        <v>✓</v>
      </c>
      <c r="E48" s="10" t="s">
        <v>523</v>
      </c>
    </row>
    <row r="49" customFormat="false" ht="15" hidden="false" customHeight="false" outlineLevel="0" collapsed="false">
      <c r="A49" s="10" t="s">
        <v>555</v>
      </c>
      <c r="B49" s="10" t="s">
        <v>787</v>
      </c>
      <c r="C49" s="35" t="n">
        <f aca="false">LEN(B49)</f>
        <v>24</v>
      </c>
      <c r="D49" s="35" t="str">
        <f aca="false">IF(C49&lt;=30,"✓","تجاوز")</f>
        <v>✓</v>
      </c>
      <c r="E49" s="10" t="s">
        <v>523</v>
      </c>
    </row>
    <row r="51" customFormat="false" ht="15" hidden="false" customHeight="false" outlineLevel="0" collapsed="false">
      <c r="A51" s="34" t="s">
        <v>557</v>
      </c>
    </row>
    <row r="52" customFormat="false" ht="15" hidden="false" customHeight="false" outlineLevel="0" collapsed="false">
      <c r="A52" s="9" t="s">
        <v>157</v>
      </c>
      <c r="B52" s="9" t="s">
        <v>485</v>
      </c>
      <c r="C52" s="9" t="s">
        <v>486</v>
      </c>
      <c r="D52" s="9" t="s">
        <v>514</v>
      </c>
      <c r="E52" s="9" t="s">
        <v>234</v>
      </c>
    </row>
    <row r="53" customFormat="false" ht="15" hidden="false" customHeight="false" outlineLevel="0" collapsed="false">
      <c r="A53" s="10" t="s">
        <v>558</v>
      </c>
      <c r="B53" s="10" t="s">
        <v>788</v>
      </c>
      <c r="C53" s="35" t="n">
        <f aca="false">LEN(B53)</f>
        <v>83</v>
      </c>
      <c r="D53" s="35" t="str">
        <f aca="false">IF(C53&lt;=90,"✓","تجاوز")</f>
        <v>✓</v>
      </c>
      <c r="E53" s="10" t="s">
        <v>560</v>
      </c>
    </row>
    <row r="54" customFormat="false" ht="15" hidden="false" customHeight="false" outlineLevel="0" collapsed="false">
      <c r="A54" s="10" t="s">
        <v>561</v>
      </c>
      <c r="B54" s="10" t="s">
        <v>789</v>
      </c>
      <c r="C54" s="35" t="n">
        <f aca="false">LEN(B54)</f>
        <v>87</v>
      </c>
      <c r="D54" s="35" t="str">
        <f aca="false">IF(C54&lt;=90,"✓","تجاوز")</f>
        <v>✓</v>
      </c>
      <c r="E54" s="10" t="s">
        <v>560</v>
      </c>
    </row>
    <row r="55" customFormat="false" ht="15" hidden="false" customHeight="false" outlineLevel="0" collapsed="false">
      <c r="A55" s="10" t="s">
        <v>563</v>
      </c>
      <c r="B55" s="10" t="s">
        <v>790</v>
      </c>
      <c r="C55" s="35" t="n">
        <f aca="false">LEN(B55)</f>
        <v>87</v>
      </c>
      <c r="D55" s="35" t="str">
        <f aca="false">IF(C55&lt;=90,"✓","تجاوز")</f>
        <v>✓</v>
      </c>
      <c r="E55" s="10" t="s">
        <v>560</v>
      </c>
    </row>
    <row r="56" customFormat="false" ht="15" hidden="false" customHeight="false" outlineLevel="0" collapsed="false">
      <c r="A56" s="10" t="s">
        <v>565</v>
      </c>
      <c r="B56" s="10" t="s">
        <v>791</v>
      </c>
      <c r="C56" s="35" t="n">
        <f aca="false">LEN(B56)</f>
        <v>77</v>
      </c>
      <c r="D56" s="35" t="str">
        <f aca="false">IF(C56&lt;=90,"✓","تجاوز")</f>
        <v>✓</v>
      </c>
      <c r="E56" s="10" t="s">
        <v>560</v>
      </c>
    </row>
    <row r="57" customFormat="false" ht="15" hidden="false" customHeight="false" outlineLevel="0" collapsed="false">
      <c r="A57" s="10" t="s">
        <v>567</v>
      </c>
      <c r="B57" s="10" t="s">
        <v>792</v>
      </c>
      <c r="C57" s="35" t="n">
        <f aca="false">LEN(B57)</f>
        <v>87</v>
      </c>
      <c r="D57" s="35" t="str">
        <f aca="false">IF(C57&lt;=90,"✓","تجاوز")</f>
        <v>✓</v>
      </c>
      <c r="E57" s="10" t="s">
        <v>560</v>
      </c>
    </row>
    <row r="58" customFormat="false" ht="15" hidden="false" customHeight="false" outlineLevel="0" collapsed="false">
      <c r="A58" s="10" t="s">
        <v>569</v>
      </c>
      <c r="B58" s="10" t="s">
        <v>793</v>
      </c>
      <c r="C58" s="35" t="n">
        <f aca="false">LEN(B58)</f>
        <v>74</v>
      </c>
      <c r="D58" s="35" t="str">
        <f aca="false">IF(C58&lt;=90,"✓","تجاوز")</f>
        <v>✓</v>
      </c>
      <c r="E58" s="10" t="s">
        <v>560</v>
      </c>
    </row>
    <row r="60" customFormat="false" ht="15" hidden="false" customHeight="false" outlineLevel="0" collapsed="false">
      <c r="A60" s="34" t="s">
        <v>571</v>
      </c>
    </row>
    <row r="61" customFormat="false" ht="15" hidden="false" customHeight="false" outlineLevel="0" collapsed="false">
      <c r="A61" s="9" t="s">
        <v>312</v>
      </c>
      <c r="B61" s="9" t="s">
        <v>485</v>
      </c>
      <c r="C61" s="9" t="s">
        <v>486</v>
      </c>
      <c r="D61" s="9" t="s">
        <v>487</v>
      </c>
      <c r="E61" s="9" t="s">
        <v>234</v>
      </c>
    </row>
    <row r="62" customFormat="false" ht="15" hidden="false" customHeight="false" outlineLevel="0" collapsed="false">
      <c r="A62" s="10" t="s">
        <v>572</v>
      </c>
      <c r="B62" s="10" t="s">
        <v>573</v>
      </c>
      <c r="C62" s="35" t="n">
        <f aca="false">LEN(B62)</f>
        <v>22</v>
      </c>
      <c r="D62" s="35" t="str">
        <f aca="false">IF(C62&lt;=30,"✓","تجاوز")</f>
        <v>✓</v>
      </c>
      <c r="E62" s="10" t="s">
        <v>574</v>
      </c>
    </row>
    <row r="63" customFormat="false" ht="15" hidden="false" customHeight="false" outlineLevel="0" collapsed="false">
      <c r="A63" s="10" t="s">
        <v>575</v>
      </c>
      <c r="B63" s="10" t="s">
        <v>370</v>
      </c>
      <c r="C63" s="35" t="n">
        <f aca="false">LEN(B63)</f>
        <v>24</v>
      </c>
      <c r="D63" s="35" t="str">
        <f aca="false">IF(C63&lt;=30,"✓","تجاوز")</f>
        <v>✓</v>
      </c>
      <c r="E63" s="10"/>
    </row>
    <row r="64" customFormat="false" ht="15" hidden="false" customHeight="false" outlineLevel="0" collapsed="false">
      <c r="A64" s="10" t="s">
        <v>577</v>
      </c>
      <c r="B64" s="10" t="s">
        <v>794</v>
      </c>
      <c r="C64" s="35" t="n">
        <f aca="false">LEN(B64)</f>
        <v>25</v>
      </c>
      <c r="D64" s="35" t="str">
        <f aca="false">IF(C64&lt;=30,"✓","تجاوز")</f>
        <v>✓</v>
      </c>
      <c r="E64" s="10"/>
    </row>
    <row r="65" customFormat="false" ht="15" hidden="false" customHeight="false" outlineLevel="0" collapsed="false">
      <c r="A65" s="10" t="s">
        <v>579</v>
      </c>
      <c r="B65" s="10" t="s">
        <v>795</v>
      </c>
      <c r="C65" s="35" t="n">
        <f aca="false">LEN(B65)</f>
        <v>27</v>
      </c>
      <c r="D65" s="35" t="str">
        <f aca="false">IF(C65&lt;=30,"✓","تجاوز")</f>
        <v>✓</v>
      </c>
      <c r="E65" s="10"/>
    </row>
    <row r="66" customFormat="false" ht="15" hidden="false" customHeight="false" outlineLevel="0" collapsed="false">
      <c r="A66" s="10" t="s">
        <v>581</v>
      </c>
      <c r="B66" s="10" t="s">
        <v>580</v>
      </c>
      <c r="C66" s="35" t="n">
        <f aca="false">LEN(B66)</f>
        <v>24</v>
      </c>
      <c r="D66" s="35" t="str">
        <f aca="false">IF(C66&lt;=30,"✓","تجاوز")</f>
        <v>✓</v>
      </c>
      <c r="E66" s="10"/>
    </row>
    <row r="67" customFormat="false" ht="15" hidden="false" customHeight="false" outlineLevel="0" collapsed="false">
      <c r="A67" s="10" t="s">
        <v>583</v>
      </c>
      <c r="B67" s="10" t="s">
        <v>796</v>
      </c>
      <c r="C67" s="35" t="n">
        <f aca="false">LEN(B67)</f>
        <v>24</v>
      </c>
      <c r="D67" s="35" t="str">
        <f aca="false">IF(C67&lt;=30,"✓","تجاوز")</f>
        <v>✓</v>
      </c>
      <c r="E67" s="10"/>
    </row>
    <row r="68" customFormat="false" ht="15" hidden="false" customHeight="false" outlineLevel="0" collapsed="false">
      <c r="A68" s="10" t="s">
        <v>585</v>
      </c>
      <c r="B68" s="10" t="s">
        <v>797</v>
      </c>
      <c r="C68" s="35" t="n">
        <f aca="false">LEN(B68)</f>
        <v>22</v>
      </c>
      <c r="D68" s="35" t="str">
        <f aca="false">IF(C68&lt;=30,"✓","تجاوز")</f>
        <v>✓</v>
      </c>
      <c r="E68" s="10"/>
    </row>
    <row r="69" customFormat="false" ht="15" hidden="false" customHeight="false" outlineLevel="0" collapsed="false">
      <c r="A69" s="10" t="s">
        <v>587</v>
      </c>
      <c r="B69" s="10" t="s">
        <v>345</v>
      </c>
      <c r="C69" s="35" t="n">
        <f aca="false">LEN(B69)</f>
        <v>28</v>
      </c>
      <c r="D69" s="35" t="str">
        <f aca="false">IF(C69&lt;=30,"✓","تجاوز")</f>
        <v>✓</v>
      </c>
      <c r="E69" s="10"/>
    </row>
    <row r="70" customFormat="false" ht="15" hidden="false" customHeight="false" outlineLevel="0" collapsed="false">
      <c r="A70" s="10" t="s">
        <v>589</v>
      </c>
      <c r="B70" s="10" t="s">
        <v>798</v>
      </c>
      <c r="C70" s="35" t="n">
        <f aca="false">LEN(B70)</f>
        <v>27</v>
      </c>
      <c r="D70" s="35" t="str">
        <f aca="false">IF(C70&lt;=30,"✓","تجاوز")</f>
        <v>✓</v>
      </c>
      <c r="E70" s="10"/>
    </row>
    <row r="71" customFormat="false" ht="15" hidden="false" customHeight="false" outlineLevel="0" collapsed="false">
      <c r="A71" s="10" t="s">
        <v>590</v>
      </c>
      <c r="B71" s="10" t="s">
        <v>799</v>
      </c>
      <c r="C71" s="35" t="n">
        <f aca="false">LEN(B71)</f>
        <v>19</v>
      </c>
      <c r="D71" s="35" t="str">
        <f aca="false">IF(C71&lt;=30,"✓","تجاوز")</f>
        <v>✓</v>
      </c>
      <c r="E71" s="10"/>
    </row>
    <row r="73" customFormat="false" ht="15" hidden="false" customHeight="false" outlineLevel="0" collapsed="false">
      <c r="A73" s="34" t="s">
        <v>592</v>
      </c>
    </row>
    <row r="74" customFormat="false" ht="15" hidden="false" customHeight="false" outlineLevel="0" collapsed="false">
      <c r="A74" s="9" t="s">
        <v>312</v>
      </c>
      <c r="B74" s="9" t="s">
        <v>485</v>
      </c>
      <c r="C74" s="9" t="s">
        <v>486</v>
      </c>
      <c r="D74" s="9" t="s">
        <v>514</v>
      </c>
      <c r="E74" s="9" t="s">
        <v>234</v>
      </c>
    </row>
    <row r="75" customFormat="false" ht="23.85" hidden="false" customHeight="false" outlineLevel="0" collapsed="false">
      <c r="A75" s="10" t="s">
        <v>593</v>
      </c>
      <c r="B75" s="10" t="s">
        <v>372</v>
      </c>
      <c r="C75" s="35" t="n">
        <f aca="false">LEN(B75)</f>
        <v>88</v>
      </c>
      <c r="D75" s="35" t="str">
        <f aca="false">IF(C75&lt;=90,"✓","تجاوز")</f>
        <v>✓</v>
      </c>
      <c r="E75" s="10"/>
    </row>
    <row r="76" customFormat="false" ht="15" hidden="false" customHeight="false" outlineLevel="0" collapsed="false">
      <c r="A76" s="10" t="s">
        <v>594</v>
      </c>
      <c r="B76" s="10" t="s">
        <v>800</v>
      </c>
      <c r="C76" s="35" t="n">
        <f aca="false">LEN(B76)</f>
        <v>84</v>
      </c>
      <c r="D76" s="35" t="str">
        <f aca="false">IF(C76&lt;=90,"✓","تجاوز")</f>
        <v>✓</v>
      </c>
      <c r="E76" s="10"/>
    </row>
    <row r="77" customFormat="false" ht="15" hidden="false" customHeight="false" outlineLevel="0" collapsed="false">
      <c r="A77" s="10" t="s">
        <v>596</v>
      </c>
      <c r="B77" s="10" t="s">
        <v>801</v>
      </c>
      <c r="C77" s="35" t="n">
        <f aca="false">LEN(B77)</f>
        <v>83</v>
      </c>
      <c r="D77" s="35" t="str">
        <f aca="false">IF(C77&lt;=90,"✓","تجاوز")</f>
        <v>✓</v>
      </c>
      <c r="E77" s="10"/>
    </row>
    <row r="78" customFormat="false" ht="15" hidden="false" customHeight="false" outlineLevel="0" collapsed="false">
      <c r="A78" s="10" t="s">
        <v>598</v>
      </c>
      <c r="B78" s="10" t="s">
        <v>802</v>
      </c>
      <c r="C78" s="35" t="n">
        <f aca="false">LEN(B78)</f>
        <v>85</v>
      </c>
      <c r="D78" s="35" t="str">
        <f aca="false">IF(C78&lt;=90,"✓","تجاوز")</f>
        <v>✓</v>
      </c>
      <c r="E78" s="10"/>
    </row>
    <row r="80" customFormat="false" ht="15" hidden="false" customHeight="false" outlineLevel="0" collapsed="false">
      <c r="A80" s="34" t="s">
        <v>600</v>
      </c>
    </row>
    <row r="81" customFormat="false" ht="15" hidden="false" customHeight="false" outlineLevel="0" collapsed="false">
      <c r="A81" s="9" t="s">
        <v>312</v>
      </c>
      <c r="B81" s="9" t="s">
        <v>485</v>
      </c>
      <c r="C81" s="9" t="s">
        <v>486</v>
      </c>
      <c r="D81" s="9" t="s">
        <v>601</v>
      </c>
      <c r="E81" s="9" t="s">
        <v>234</v>
      </c>
    </row>
    <row r="82" customFormat="false" ht="15" hidden="false" customHeight="false" outlineLevel="0" collapsed="false">
      <c r="A82" s="10" t="s">
        <v>602</v>
      </c>
      <c r="B82" s="10" t="s">
        <v>803</v>
      </c>
      <c r="C82" s="35" t="n">
        <f aca="false">LEN(B82)</f>
        <v>17</v>
      </c>
      <c r="D82" s="35" t="str">
        <f aca="false">IF(C82&lt;=25,"✓","تجاوز")</f>
        <v>✓</v>
      </c>
      <c r="E82" s="10" t="s">
        <v>604</v>
      </c>
    </row>
    <row r="83" customFormat="false" ht="15" hidden="false" customHeight="false" outlineLevel="0" collapsed="false">
      <c r="A83" s="10" t="s">
        <v>605</v>
      </c>
      <c r="B83" s="10" t="s">
        <v>804</v>
      </c>
      <c r="C83" s="35" t="n">
        <f aca="false">LEN(B83)</f>
        <v>15</v>
      </c>
      <c r="D83" s="35" t="str">
        <f aca="false">IF(C83&lt;=25,"✓","تجاوز")</f>
        <v>✓</v>
      </c>
      <c r="E83" s="10" t="s">
        <v>604</v>
      </c>
    </row>
    <row r="84" customFormat="false" ht="15" hidden="false" customHeight="false" outlineLevel="0" collapsed="false">
      <c r="A84" s="10" t="s">
        <v>607</v>
      </c>
      <c r="B84" s="10" t="s">
        <v>805</v>
      </c>
      <c r="C84" s="35" t="n">
        <f aca="false">LEN(B84)</f>
        <v>16</v>
      </c>
      <c r="D84" s="35" t="str">
        <f aca="false">IF(C84&lt;=25,"✓","تجاوز")</f>
        <v>✓</v>
      </c>
      <c r="E84" s="10" t="s">
        <v>604</v>
      </c>
    </row>
    <row r="85" customFormat="false" ht="15" hidden="false" customHeight="false" outlineLevel="0" collapsed="false">
      <c r="A85" s="10" t="s">
        <v>608</v>
      </c>
      <c r="B85" s="10" t="s">
        <v>806</v>
      </c>
      <c r="C85" s="35" t="n">
        <f aca="false">LEN(B85)</f>
        <v>14</v>
      </c>
      <c r="D85" s="35" t="str">
        <f aca="false">IF(C85&lt;=25,"✓","تجاوز")</f>
        <v>✓</v>
      </c>
      <c r="E85" s="10" t="s">
        <v>604</v>
      </c>
    </row>
    <row r="86" customFormat="false" ht="15" hidden="false" customHeight="false" outlineLevel="0" collapsed="false">
      <c r="A86" s="10" t="s">
        <v>610</v>
      </c>
      <c r="B86" s="10" t="s">
        <v>744</v>
      </c>
      <c r="C86" s="35" t="n">
        <f aca="false">LEN(B86)</f>
        <v>14</v>
      </c>
      <c r="D86" s="35" t="str">
        <f aca="false">IF(C86&lt;=25,"✓","تجاوز")</f>
        <v>✓</v>
      </c>
      <c r="E86" s="10" t="s">
        <v>604</v>
      </c>
    </row>
    <row r="87" customFormat="false" ht="15" hidden="false" customHeight="false" outlineLevel="0" collapsed="false">
      <c r="A87" s="10" t="s">
        <v>612</v>
      </c>
      <c r="B87" s="10" t="s">
        <v>807</v>
      </c>
      <c r="C87" s="35" t="n">
        <f aca="false">LEN(B87)</f>
        <v>16</v>
      </c>
      <c r="D87" s="35" t="str">
        <f aca="false">IF(C87&lt;=25,"✓","تجاوز")</f>
        <v>✓</v>
      </c>
      <c r="E87" s="10" t="s">
        <v>604</v>
      </c>
    </row>
    <row r="89" customFormat="false" ht="15" hidden="false" customHeight="false" outlineLevel="0" collapsed="false">
      <c r="A89" s="34" t="s">
        <v>614</v>
      </c>
    </row>
    <row r="90" customFormat="false" ht="15" hidden="false" customHeight="false" outlineLevel="0" collapsed="false">
      <c r="A90" s="9" t="s">
        <v>312</v>
      </c>
      <c r="B90" s="9" t="s">
        <v>485</v>
      </c>
      <c r="C90" s="9" t="s">
        <v>486</v>
      </c>
      <c r="D90" s="9" t="s">
        <v>615</v>
      </c>
      <c r="E90" s="9" t="s">
        <v>234</v>
      </c>
    </row>
    <row r="91" customFormat="false" ht="15" hidden="false" customHeight="false" outlineLevel="0" collapsed="false">
      <c r="A91" s="10" t="s">
        <v>616</v>
      </c>
      <c r="B91" s="10" t="s">
        <v>808</v>
      </c>
      <c r="C91" s="35" t="n">
        <f aca="false">LEN(B91)</f>
        <v>13</v>
      </c>
      <c r="D91" s="35" t="str">
        <f aca="false">IF(C91&lt;=35,"✓","تجاوز")</f>
        <v>✓</v>
      </c>
      <c r="E91" s="10"/>
    </row>
    <row r="92" customFormat="false" ht="15" hidden="false" customHeight="false" outlineLevel="0" collapsed="false">
      <c r="A92" s="10" t="s">
        <v>618</v>
      </c>
      <c r="B92" s="10" t="s">
        <v>809</v>
      </c>
      <c r="C92" s="35" t="n">
        <f aca="false">LEN(B92)</f>
        <v>13</v>
      </c>
      <c r="D92" s="35" t="str">
        <f aca="false">IF(C92&lt;=35,"✓","تجاوز")</f>
        <v>✓</v>
      </c>
      <c r="E92" s="10"/>
    </row>
    <row r="93" customFormat="false" ht="15" hidden="false" customHeight="false" outlineLevel="0" collapsed="false">
      <c r="A93" s="10" t="s">
        <v>620</v>
      </c>
      <c r="B93" s="10" t="s">
        <v>810</v>
      </c>
      <c r="C93" s="35" t="n">
        <f aca="false">LEN(B93)</f>
        <v>15</v>
      </c>
      <c r="D93" s="35" t="str">
        <f aca="false">IF(C93&lt;=35,"✓","تجاوز")</f>
        <v>✓</v>
      </c>
      <c r="E93" s="10"/>
    </row>
    <row r="94" customFormat="false" ht="15" hidden="false" customHeight="false" outlineLevel="0" collapsed="false">
      <c r="A94" s="10" t="s">
        <v>622</v>
      </c>
      <c r="B94" s="10" t="s">
        <v>811</v>
      </c>
      <c r="C94" s="35" t="n">
        <f aca="false">LEN(B94)</f>
        <v>17</v>
      </c>
      <c r="D94" s="35" t="str">
        <f aca="false">IF(C94&lt;=35,"✓","تجاوز")</f>
        <v>✓</v>
      </c>
      <c r="E94" s="10"/>
    </row>
    <row r="95" customFormat="false" ht="15" hidden="false" customHeight="false" outlineLevel="0" collapsed="false">
      <c r="A95" s="10" t="s">
        <v>624</v>
      </c>
      <c r="B95" s="10" t="s">
        <v>812</v>
      </c>
      <c r="C95" s="35" t="n">
        <f aca="false">LEN(B95)</f>
        <v>10</v>
      </c>
      <c r="D95" s="35" t="str">
        <f aca="false">IF(C95&lt;=35,"✓","تجاوز")</f>
        <v>✓</v>
      </c>
      <c r="E95" s="10"/>
    </row>
    <row r="96" customFormat="false" ht="15" hidden="false" customHeight="false" outlineLevel="0" collapsed="false">
      <c r="A96" s="10" t="s">
        <v>626</v>
      </c>
      <c r="B96" s="10" t="s">
        <v>813</v>
      </c>
      <c r="C96" s="35" t="n">
        <f aca="false">LEN(B96)</f>
        <v>8</v>
      </c>
      <c r="D96" s="35" t="str">
        <f aca="false">IF(C96&lt;=35,"✓","تجاوز")</f>
        <v>✓</v>
      </c>
      <c r="E96" s="10"/>
    </row>
    <row r="97" customFormat="false" ht="15" hidden="false" customHeight="false" outlineLevel="0" collapsed="false">
      <c r="A97" s="10" t="s">
        <v>385</v>
      </c>
      <c r="B97" s="10" t="s">
        <v>814</v>
      </c>
      <c r="C97" s="35" t="n">
        <f aca="false">LEN(B97)</f>
        <v>16</v>
      </c>
      <c r="D97" s="35" t="str">
        <f aca="false">IF(C97&lt;=35,"✓","تجاوز")</f>
        <v>✓</v>
      </c>
      <c r="E97" s="10"/>
    </row>
    <row r="98" customFormat="false" ht="15" hidden="false" customHeight="false" outlineLevel="0" collapsed="false">
      <c r="A98" s="10" t="s">
        <v>629</v>
      </c>
      <c r="B98" s="10" t="s">
        <v>815</v>
      </c>
      <c r="C98" s="35" t="n">
        <f aca="false">LEN(B98)</f>
        <v>16</v>
      </c>
      <c r="D98" s="35" t="str">
        <f aca="false">IF(C98&lt;=35,"✓","تجاوز")</f>
        <v>✓</v>
      </c>
      <c r="E98" s="10"/>
    </row>
    <row r="99" customFormat="false" ht="15" hidden="false" customHeight="false" outlineLevel="0" collapsed="false">
      <c r="A99" s="10" t="s">
        <v>631</v>
      </c>
      <c r="B99" s="10" t="s">
        <v>621</v>
      </c>
      <c r="C99" s="35" t="n">
        <f aca="false">LEN(B99)</f>
        <v>10</v>
      </c>
      <c r="D99" s="35" t="str">
        <f aca="false">IF(C99&lt;=35,"✓","تجاوز")</f>
        <v>✓</v>
      </c>
      <c r="E99" s="10"/>
    </row>
    <row r="100" customFormat="false" ht="15" hidden="false" customHeight="false" outlineLevel="0" collapsed="false">
      <c r="A100" s="10" t="s">
        <v>633</v>
      </c>
      <c r="B100" s="10" t="s">
        <v>816</v>
      </c>
      <c r="C100" s="35" t="n">
        <f aca="false">LEN(B100)</f>
        <v>15</v>
      </c>
      <c r="D100" s="35" t="str">
        <f aca="false">IF(C100&lt;=35,"✓","تجاوز")</f>
        <v>✓</v>
      </c>
      <c r="E100" s="10"/>
    </row>
    <row r="101" customFormat="false" ht="15" hidden="false" customHeight="false" outlineLevel="0" collapsed="false">
      <c r="A101" s="10" t="s">
        <v>635</v>
      </c>
      <c r="B101" s="10" t="s">
        <v>817</v>
      </c>
      <c r="C101" s="35" t="n">
        <f aca="false">LEN(B101)</f>
        <v>11</v>
      </c>
      <c r="D101" s="35" t="str">
        <f aca="false">IF(C101&lt;=35,"✓","تجاوز")</f>
        <v>✓</v>
      </c>
      <c r="E101" s="10"/>
    </row>
    <row r="102" customFormat="false" ht="15" hidden="false" customHeight="false" outlineLevel="0" collapsed="false">
      <c r="A102" s="10" t="s">
        <v>637</v>
      </c>
      <c r="B102" s="10" t="s">
        <v>818</v>
      </c>
      <c r="C102" s="35" t="n">
        <f aca="false">LEN(B102)</f>
        <v>11</v>
      </c>
      <c r="D102" s="35" t="str">
        <f aca="false">IF(C102&lt;=35,"✓","تجاوز")</f>
        <v>✓</v>
      </c>
      <c r="E102" s="10"/>
    </row>
    <row r="104" customFormat="false" ht="15" hidden="false" customHeight="false" outlineLevel="0" collapsed="false">
      <c r="A104" s="34" t="s">
        <v>639</v>
      </c>
    </row>
    <row r="105" customFormat="false" ht="15" hidden="false" customHeight="false" outlineLevel="0" collapsed="false">
      <c r="A105" s="9" t="s">
        <v>312</v>
      </c>
      <c r="B105" s="9" t="s">
        <v>485</v>
      </c>
      <c r="C105" s="9" t="s">
        <v>486</v>
      </c>
      <c r="D105" s="9" t="s">
        <v>601</v>
      </c>
      <c r="E105" s="9" t="s">
        <v>234</v>
      </c>
    </row>
    <row r="106" customFormat="false" ht="15" hidden="false" customHeight="false" outlineLevel="0" collapsed="false">
      <c r="A106" s="10" t="s">
        <v>364</v>
      </c>
      <c r="B106" s="10" t="s">
        <v>409</v>
      </c>
      <c r="C106" s="35" t="n">
        <f aca="false">LEN(B106)</f>
        <v>14</v>
      </c>
      <c r="D106" s="35" t="str">
        <f aca="false">IF(C106&lt;=25,"✓","تجاوز")</f>
        <v>✓</v>
      </c>
      <c r="E106" s="10"/>
    </row>
    <row r="107" customFormat="false" ht="15" hidden="false" customHeight="false" outlineLevel="0" collapsed="false">
      <c r="A107" s="10" t="s">
        <v>640</v>
      </c>
      <c r="B107" s="10" t="s">
        <v>764</v>
      </c>
      <c r="C107" s="35" t="n">
        <f aca="false">LEN(B107)</f>
        <v>21</v>
      </c>
      <c r="D107" s="35" t="str">
        <f aca="false">IF(C107&lt;=25,"✓","تجاوز")</f>
        <v>✓</v>
      </c>
      <c r="E107" s="10"/>
    </row>
    <row r="108" customFormat="false" ht="15" hidden="false" customHeight="false" outlineLevel="0" collapsed="false">
      <c r="A108" s="10" t="s">
        <v>641</v>
      </c>
      <c r="B108" s="10" t="s">
        <v>699</v>
      </c>
      <c r="C108" s="35" t="n">
        <f aca="false">LEN(B108)</f>
        <v>20</v>
      </c>
      <c r="D108" s="35" t="str">
        <f aca="false">IF(C108&lt;=25,"✓","تجاوز")</f>
        <v>✓</v>
      </c>
      <c r="E108" s="10"/>
    </row>
    <row r="109" customFormat="false" ht="15" hidden="false" customHeight="false" outlineLevel="0" collapsed="false">
      <c r="A109" s="10" t="s">
        <v>642</v>
      </c>
      <c r="B109" s="10" t="s">
        <v>500</v>
      </c>
      <c r="C109" s="35" t="n">
        <f aca="false">LEN(B109)</f>
        <v>21</v>
      </c>
      <c r="D109" s="35" t="str">
        <f aca="false">IF(C109&lt;=25,"✓","تجاوز")</f>
        <v>✓</v>
      </c>
      <c r="E109" s="10"/>
    </row>
    <row r="110" customFormat="false" ht="15" hidden="false" customHeight="false" outlineLevel="0" collapsed="false">
      <c r="A110" s="10" t="s">
        <v>643</v>
      </c>
      <c r="B110" s="10" t="s">
        <v>768</v>
      </c>
      <c r="C110" s="35" t="n">
        <f aca="false">LEN(B110)</f>
        <v>18</v>
      </c>
      <c r="D110" s="35" t="str">
        <f aca="false">IF(C110&lt;=25,"✓","تجاوز")</f>
        <v>✓</v>
      </c>
      <c r="E110" s="10"/>
    </row>
    <row r="111" customFormat="false" ht="15" hidden="false" customHeight="false" outlineLevel="0" collapsed="false">
      <c r="A111" s="10" t="s">
        <v>645</v>
      </c>
      <c r="B111" s="10" t="s">
        <v>772</v>
      </c>
      <c r="C111" s="35" t="n">
        <f aca="false">LEN(B111)</f>
        <v>18</v>
      </c>
      <c r="D111" s="35" t="str">
        <f aca="false">IF(C111&lt;=25,"✓","تجاوز")</f>
        <v>✓</v>
      </c>
      <c r="E111" s="10"/>
    </row>
    <row r="112" customFormat="false" ht="15" hidden="false" customHeight="false" outlineLevel="0" collapsed="false">
      <c r="A112" s="10" t="s">
        <v>646</v>
      </c>
      <c r="B112" s="10" t="s">
        <v>660</v>
      </c>
      <c r="C112" s="35" t="n">
        <f aca="false">LEN(B112)</f>
        <v>12</v>
      </c>
      <c r="D112" s="35" t="str">
        <f aca="false">IF(C112&lt;=25,"✓","تجاوز")</f>
        <v>✓</v>
      </c>
      <c r="E112" s="10"/>
    </row>
    <row r="113" customFormat="false" ht="15" hidden="false" customHeight="false" outlineLevel="0" collapsed="false">
      <c r="A113" s="10" t="s">
        <v>647</v>
      </c>
      <c r="B113" s="10" t="s">
        <v>769</v>
      </c>
      <c r="C113" s="35" t="n">
        <f aca="false">LEN(B113)</f>
        <v>18</v>
      </c>
      <c r="D113" s="35" t="str">
        <f aca="false">IF(C113&lt;=25,"✓","تجاوز")</f>
        <v>✓</v>
      </c>
      <c r="E113" s="10"/>
    </row>
    <row r="115" customFormat="false" ht="15" hidden="false" customHeight="false" outlineLevel="0" collapsed="false">
      <c r="A115" s="34" t="s">
        <v>649</v>
      </c>
    </row>
    <row r="116" customFormat="false" ht="15" hidden="false" customHeight="false" outlineLevel="0" collapsed="false">
      <c r="A116" s="9" t="s">
        <v>312</v>
      </c>
      <c r="B116" s="9" t="s">
        <v>485</v>
      </c>
      <c r="C116" s="9" t="s">
        <v>486</v>
      </c>
      <c r="D116" s="9" t="s">
        <v>601</v>
      </c>
      <c r="E116" s="9" t="s">
        <v>234</v>
      </c>
    </row>
    <row r="117" customFormat="false" ht="15" hidden="false" customHeight="false" outlineLevel="0" collapsed="false">
      <c r="A117" s="10" t="s">
        <v>650</v>
      </c>
      <c r="B117" s="10" t="s">
        <v>651</v>
      </c>
      <c r="C117" s="35" t="n">
        <f aca="false">LEN(B117)</f>
        <v>12</v>
      </c>
      <c r="D117" s="35" t="str">
        <f aca="false">IF(C117&lt;=25,"✓","تجاوز")</f>
        <v>✓</v>
      </c>
      <c r="E117" s="10" t="s">
        <v>652</v>
      </c>
    </row>
    <row r="118" customFormat="false" ht="15" hidden="false" customHeight="false" outlineLevel="0" collapsed="false">
      <c r="A118" s="10" t="s">
        <v>653</v>
      </c>
      <c r="B118" s="10" t="s">
        <v>654</v>
      </c>
      <c r="C118" s="35" t="n">
        <f aca="false">LEN(B118)</f>
        <v>9</v>
      </c>
      <c r="D118" s="35" t="str">
        <f aca="false">IF(C118&lt;=25,"✓","تجاوز")</f>
        <v>✓</v>
      </c>
      <c r="E118" s="10" t="s">
        <v>652</v>
      </c>
    </row>
    <row r="119" customFormat="false" ht="15" hidden="false" customHeight="false" outlineLevel="0" collapsed="false">
      <c r="A119" s="10" t="s">
        <v>655</v>
      </c>
      <c r="B119" s="10" t="s">
        <v>656</v>
      </c>
      <c r="C119" s="35" t="n">
        <f aca="false">LEN(B119)</f>
        <v>10</v>
      </c>
      <c r="D119" s="35" t="str">
        <f aca="false">IF(C119&lt;=25,"✓","تجاوز")</f>
        <v>✓</v>
      </c>
      <c r="E119" s="10" t="s">
        <v>652</v>
      </c>
    </row>
    <row r="120" customFormat="false" ht="15" hidden="false" customHeight="false" outlineLevel="0" collapsed="false">
      <c r="A120" s="10" t="s">
        <v>657</v>
      </c>
      <c r="B120" s="10" t="s">
        <v>819</v>
      </c>
      <c r="C120" s="35" t="n">
        <f aca="false">LEN(B120)</f>
        <v>11</v>
      </c>
      <c r="D120" s="35" t="str">
        <f aca="false">IF(C120&lt;=25,"✓","تجاوز")</f>
        <v>✓</v>
      </c>
      <c r="E120" s="10" t="s">
        <v>652</v>
      </c>
    </row>
    <row r="121" customFormat="false" ht="15" hidden="false" customHeight="false" outlineLevel="0" collapsed="false">
      <c r="A121" s="10" t="s">
        <v>659</v>
      </c>
      <c r="B121" s="10" t="s">
        <v>820</v>
      </c>
      <c r="C121" s="35" t="n">
        <f aca="false">LEN(B121)</f>
        <v>17</v>
      </c>
      <c r="D121" s="35" t="str">
        <f aca="false">IF(C121&lt;=25,"✓","تجاوز")</f>
        <v>✓</v>
      </c>
      <c r="E121" s="10" t="s">
        <v>652</v>
      </c>
    </row>
    <row r="123" customFormat="false" ht="15" hidden="false" customHeight="false" outlineLevel="0" collapsed="false">
      <c r="A123" s="34" t="s">
        <v>661</v>
      </c>
    </row>
    <row r="124" customFormat="false" ht="15" hidden="false" customHeight="false" outlineLevel="0" collapsed="false">
      <c r="A124" s="9" t="s">
        <v>312</v>
      </c>
      <c r="B124" s="9" t="s">
        <v>485</v>
      </c>
      <c r="C124" s="9" t="s">
        <v>486</v>
      </c>
      <c r="D124" s="9" t="s">
        <v>601</v>
      </c>
      <c r="E124" s="9" t="s">
        <v>234</v>
      </c>
    </row>
    <row r="125" customFormat="false" ht="15" hidden="false" customHeight="false" outlineLevel="0" collapsed="false">
      <c r="A125" s="10" t="s">
        <v>650</v>
      </c>
      <c r="B125" s="10" t="s">
        <v>662</v>
      </c>
      <c r="C125" s="35" t="n">
        <f aca="false">LEN(B125)</f>
        <v>8</v>
      </c>
      <c r="D125" s="35" t="str">
        <f aca="false">IF(C125&lt;=25,"✓","تجاوز")</f>
        <v>✓</v>
      </c>
      <c r="E125" s="10" t="s">
        <v>663</v>
      </c>
    </row>
    <row r="126" customFormat="false" ht="15" hidden="false" customHeight="false" outlineLevel="0" collapsed="false">
      <c r="A126" s="10" t="s">
        <v>653</v>
      </c>
      <c r="B126" s="10" t="s">
        <v>664</v>
      </c>
      <c r="C126" s="35" t="n">
        <f aca="false">LEN(B126)</f>
        <v>6</v>
      </c>
      <c r="D126" s="35" t="str">
        <f aca="false">IF(C126&lt;=25,"✓","تجاوز")</f>
        <v>✓</v>
      </c>
      <c r="E126" s="10" t="s">
        <v>663</v>
      </c>
    </row>
    <row r="127" customFormat="false" ht="15" hidden="false" customHeight="false" outlineLevel="0" collapsed="false">
      <c r="A127" s="10" t="s">
        <v>655</v>
      </c>
      <c r="B127" s="10" t="s">
        <v>665</v>
      </c>
      <c r="C127" s="35" t="n">
        <f aca="false">LEN(B127)</f>
        <v>6</v>
      </c>
      <c r="D127" s="35" t="str">
        <f aca="false">IF(C127&lt;=25,"✓","تجاوز")</f>
        <v>✓</v>
      </c>
      <c r="E127" s="10" t="s">
        <v>663</v>
      </c>
    </row>
    <row r="128" customFormat="false" ht="15" hidden="false" customHeight="false" outlineLevel="0" collapsed="false">
      <c r="A128" s="10" t="s">
        <v>657</v>
      </c>
      <c r="B128" s="10" t="s">
        <v>666</v>
      </c>
      <c r="C128" s="35" t="n">
        <f aca="false">LEN(B128)</f>
        <v>6</v>
      </c>
      <c r="D128" s="35" t="str">
        <f aca="false">IF(C128&lt;=25,"✓","تجاوز")</f>
        <v>✓</v>
      </c>
      <c r="E128" s="10" t="s">
        <v>663</v>
      </c>
    </row>
    <row r="129" customFormat="false" ht="15" hidden="false" customHeight="false" outlineLevel="0" collapsed="false">
      <c r="A129" s="10" t="s">
        <v>659</v>
      </c>
      <c r="B129" s="10" t="s">
        <v>667</v>
      </c>
      <c r="C129" s="35" t="n">
        <f aca="false">LEN(B129)</f>
        <v>7</v>
      </c>
      <c r="D129" s="35" t="str">
        <f aca="false">IF(C129&lt;=25,"✓","تجاوز")</f>
        <v>✓</v>
      </c>
      <c r="E129" s="10" t="s">
        <v>663</v>
      </c>
    </row>
    <row r="130" customFormat="false" ht="15" hidden="false" customHeight="false" outlineLevel="0" collapsed="false">
      <c r="A130" s="10" t="s">
        <v>668</v>
      </c>
      <c r="B130" s="10" t="s">
        <v>669</v>
      </c>
      <c r="C130" s="35" t="n">
        <f aca="false">LEN(B130)</f>
        <v>8</v>
      </c>
      <c r="D130" s="35" t="str">
        <f aca="false">IF(C130&lt;=25,"✓","تجاوز")</f>
        <v>✓</v>
      </c>
      <c r="E130" s="10" t="s">
        <v>663</v>
      </c>
    </row>
    <row r="131" customFormat="false" ht="15" hidden="false" customHeight="false" outlineLevel="0" collapsed="false">
      <c r="A131" s="10" t="s">
        <v>670</v>
      </c>
      <c r="B131" s="10" t="s">
        <v>671</v>
      </c>
      <c r="C131" s="35" t="n">
        <f aca="false">LEN(B131)</f>
        <v>4</v>
      </c>
      <c r="D131" s="35" t="str">
        <f aca="false">IF(C131&lt;=25,"✓","تجاوز")</f>
        <v>✓</v>
      </c>
      <c r="E131" s="10" t="s">
        <v>663</v>
      </c>
    </row>
    <row r="133" customFormat="false" ht="15" hidden="false" customHeight="false" outlineLevel="0" collapsed="false">
      <c r="A133" s="34" t="s">
        <v>672</v>
      </c>
    </row>
    <row r="134" customFormat="false" ht="15" hidden="false" customHeight="false" outlineLevel="0" collapsed="false">
      <c r="A134" s="9" t="s">
        <v>673</v>
      </c>
      <c r="B134" s="9" t="s">
        <v>233</v>
      </c>
      <c r="C134" s="9"/>
      <c r="D134" s="9"/>
      <c r="E134" s="9" t="s">
        <v>234</v>
      </c>
    </row>
    <row r="135" customFormat="false" ht="15" hidden="false" customHeight="false" outlineLevel="0" collapsed="false">
      <c r="A135" s="10" t="s">
        <v>674</v>
      </c>
      <c r="B135" s="10" t="s">
        <v>675</v>
      </c>
      <c r="C135" s="10"/>
      <c r="D135" s="10"/>
      <c r="E135" s="10" t="s">
        <v>676</v>
      </c>
    </row>
    <row r="136" customFormat="false" ht="15" hidden="false" customHeight="false" outlineLevel="0" collapsed="false">
      <c r="A136" s="10" t="s">
        <v>677</v>
      </c>
      <c r="B136" s="10" t="s">
        <v>678</v>
      </c>
      <c r="C136" s="10"/>
      <c r="D136" s="10"/>
      <c r="E136" s="10" t="s">
        <v>679</v>
      </c>
    </row>
    <row r="137" customFormat="false" ht="15" hidden="false" customHeight="false" outlineLevel="0" collapsed="false">
      <c r="A137" s="10" t="s">
        <v>680</v>
      </c>
      <c r="B137" s="10" t="s">
        <v>681</v>
      </c>
      <c r="C137" s="10"/>
      <c r="D137" s="10"/>
      <c r="E137" s="10" t="s">
        <v>682</v>
      </c>
    </row>
    <row r="138" customFormat="false" ht="15" hidden="false" customHeight="false" outlineLevel="0" collapsed="false">
      <c r="A138" s="10" t="s">
        <v>683</v>
      </c>
      <c r="B138" s="10" t="s">
        <v>684</v>
      </c>
      <c r="C138" s="10"/>
      <c r="D138" s="10"/>
      <c r="E138" s="10" t="s">
        <v>685</v>
      </c>
    </row>
    <row r="139" customFormat="false" ht="15" hidden="false" customHeight="false" outlineLevel="0" collapsed="false">
      <c r="A139" s="10" t="s">
        <v>686</v>
      </c>
      <c r="B139" s="10" t="s">
        <v>687</v>
      </c>
      <c r="C139" s="10"/>
      <c r="D139" s="10"/>
      <c r="E139" s="10" t="s">
        <v>688</v>
      </c>
    </row>
    <row r="140" customFormat="false" ht="23.85" hidden="false" customHeight="false" outlineLevel="0" collapsed="false">
      <c r="A140" s="10" t="s">
        <v>689</v>
      </c>
      <c r="B140" s="10" t="s">
        <v>690</v>
      </c>
      <c r="C140" s="10"/>
      <c r="D140" s="10"/>
      <c r="E140" s="10" t="s">
        <v>691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48"/>
  </cols>
  <sheetData>
    <row r="1" customFormat="false" ht="17.35" hidden="false" customHeight="false" outlineLevel="0" collapsed="false">
      <c r="A1" s="7" t="s">
        <v>821</v>
      </c>
    </row>
    <row r="2" customFormat="false" ht="45" hidden="false" customHeight="true" outlineLevel="0" collapsed="false">
      <c r="A2" s="8" t="s">
        <v>822</v>
      </c>
      <c r="B2" s="8"/>
      <c r="C2" s="8"/>
      <c r="D2" s="8"/>
    </row>
    <row r="4" customFormat="false" ht="15" hidden="false" customHeight="false" outlineLevel="0" collapsed="false">
      <c r="A4" s="9" t="s">
        <v>312</v>
      </c>
      <c r="B4" s="9" t="s">
        <v>482</v>
      </c>
      <c r="C4" s="9" t="s">
        <v>692</v>
      </c>
      <c r="D4" s="9" t="s">
        <v>762</v>
      </c>
    </row>
    <row r="5" customFormat="false" ht="15" hidden="false" customHeight="false" outlineLevel="0" collapsed="false">
      <c r="A5" s="10" t="s">
        <v>823</v>
      </c>
      <c r="B5" s="10" t="s">
        <v>489</v>
      </c>
      <c r="C5" s="10" t="s">
        <v>489</v>
      </c>
      <c r="D5" s="10" t="s">
        <v>489</v>
      </c>
    </row>
    <row r="6" customFormat="false" ht="15" hidden="false" customHeight="false" outlineLevel="0" collapsed="false">
      <c r="A6" s="10" t="s">
        <v>350</v>
      </c>
      <c r="B6" s="10" t="s">
        <v>491</v>
      </c>
      <c r="C6" s="10" t="s">
        <v>694</v>
      </c>
      <c r="D6" s="10" t="s">
        <v>352</v>
      </c>
    </row>
    <row r="7" customFormat="false" ht="15" hidden="false" customHeight="false" outlineLevel="0" collapsed="false">
      <c r="A7" s="10" t="s">
        <v>492</v>
      </c>
      <c r="B7" s="10" t="s">
        <v>493</v>
      </c>
      <c r="C7" s="10" t="s">
        <v>695</v>
      </c>
      <c r="D7" s="10" t="s">
        <v>764</v>
      </c>
    </row>
    <row r="8" customFormat="false" ht="15" hidden="false" customHeight="false" outlineLevel="0" collapsed="false">
      <c r="A8" s="10" t="s">
        <v>494</v>
      </c>
      <c r="B8" s="10" t="s">
        <v>495</v>
      </c>
      <c r="C8" s="10" t="s">
        <v>696</v>
      </c>
      <c r="D8" s="10" t="s">
        <v>699</v>
      </c>
    </row>
    <row r="9" customFormat="false" ht="15" hidden="false" customHeight="false" outlineLevel="0" collapsed="false">
      <c r="A9" s="10" t="s">
        <v>496</v>
      </c>
      <c r="B9" s="10" t="s">
        <v>497</v>
      </c>
      <c r="C9" s="10" t="s">
        <v>697</v>
      </c>
      <c r="D9" s="10" t="s">
        <v>765</v>
      </c>
    </row>
    <row r="10" customFormat="false" ht="15" hidden="false" customHeight="false" outlineLevel="0" collapsed="false">
      <c r="A10" s="10" t="s">
        <v>498</v>
      </c>
      <c r="B10" s="10" t="s">
        <v>499</v>
      </c>
      <c r="C10" s="10" t="s">
        <v>698</v>
      </c>
      <c r="D10" s="10" t="s">
        <v>766</v>
      </c>
    </row>
    <row r="11" customFormat="false" ht="15" hidden="false" customHeight="false" outlineLevel="0" collapsed="false">
      <c r="A11" s="10" t="s">
        <v>405</v>
      </c>
      <c r="B11" s="10" t="s">
        <v>500</v>
      </c>
      <c r="C11" s="10" t="s">
        <v>407</v>
      </c>
      <c r="D11" s="10" t="s">
        <v>500</v>
      </c>
    </row>
    <row r="12" customFormat="false" ht="15" hidden="false" customHeight="false" outlineLevel="0" collapsed="false">
      <c r="A12" s="10" t="s">
        <v>501</v>
      </c>
      <c r="B12" s="10" t="s">
        <v>502</v>
      </c>
      <c r="C12" s="10" t="s">
        <v>699</v>
      </c>
      <c r="D12" s="10" t="s">
        <v>767</v>
      </c>
    </row>
    <row r="13" customFormat="false" ht="15" hidden="false" customHeight="false" outlineLevel="0" collapsed="false">
      <c r="A13" s="10" t="s">
        <v>503</v>
      </c>
      <c r="B13" s="10" t="s">
        <v>504</v>
      </c>
      <c r="C13" s="10" t="s">
        <v>500</v>
      </c>
      <c r="D13" s="10" t="s">
        <v>768</v>
      </c>
    </row>
    <row r="14" customFormat="false" ht="15" hidden="false" customHeight="false" outlineLevel="0" collapsed="false">
      <c r="A14" s="10" t="s">
        <v>505</v>
      </c>
      <c r="B14" s="10" t="s">
        <v>506</v>
      </c>
      <c r="C14" s="10" t="s">
        <v>700</v>
      </c>
      <c r="D14" s="10" t="s">
        <v>769</v>
      </c>
    </row>
    <row r="15" customFormat="false" ht="15" hidden="false" customHeight="false" outlineLevel="0" collapsed="false">
      <c r="A15" s="10" t="s">
        <v>507</v>
      </c>
      <c r="B15" s="10" t="s">
        <v>508</v>
      </c>
      <c r="C15" s="10" t="s">
        <v>701</v>
      </c>
      <c r="D15" s="10" t="s">
        <v>770</v>
      </c>
    </row>
    <row r="16" customFormat="false" ht="15" hidden="false" customHeight="false" outlineLevel="0" collapsed="false">
      <c r="A16" s="10" t="s">
        <v>317</v>
      </c>
      <c r="B16" s="10" t="s">
        <v>319</v>
      </c>
      <c r="C16" s="10" t="s">
        <v>702</v>
      </c>
      <c r="D16" s="10" t="s">
        <v>409</v>
      </c>
    </row>
    <row r="17" customFormat="false" ht="15" hidden="false" customHeight="false" outlineLevel="0" collapsed="false">
      <c r="A17" s="10" t="s">
        <v>509</v>
      </c>
      <c r="B17" s="10" t="s">
        <v>510</v>
      </c>
      <c r="C17" s="10" t="s">
        <v>703</v>
      </c>
      <c r="D17" s="10" t="s">
        <v>497</v>
      </c>
    </row>
    <row r="18" customFormat="false" ht="15" hidden="false" customHeight="false" outlineLevel="0" collapsed="false">
      <c r="A18" s="10" t="s">
        <v>401</v>
      </c>
      <c r="B18" s="10" t="s">
        <v>403</v>
      </c>
      <c r="C18" s="10" t="s">
        <v>704</v>
      </c>
      <c r="D18" s="10" t="s">
        <v>771</v>
      </c>
    </row>
    <row r="19" customFormat="false" ht="15" hidden="false" customHeight="false" outlineLevel="0" collapsed="false">
      <c r="A19" s="10" t="s">
        <v>511</v>
      </c>
      <c r="B19" s="10" t="s">
        <v>512</v>
      </c>
      <c r="C19" s="10" t="s">
        <v>705</v>
      </c>
      <c r="D19" s="10" t="s">
        <v>772</v>
      </c>
    </row>
    <row r="20" customFormat="false" ht="23.85" hidden="false" customHeight="false" outlineLevel="0" collapsed="false">
      <c r="A20" s="10" t="s">
        <v>354</v>
      </c>
      <c r="B20" s="10" t="s">
        <v>515</v>
      </c>
      <c r="C20" s="10" t="s">
        <v>706</v>
      </c>
      <c r="D20" s="10" t="s">
        <v>356</v>
      </c>
    </row>
    <row r="21" customFormat="false" ht="23.85" hidden="false" customHeight="false" outlineLevel="0" collapsed="false">
      <c r="A21" s="10" t="s">
        <v>516</v>
      </c>
      <c r="B21" s="10" t="s">
        <v>517</v>
      </c>
      <c r="C21" s="10" t="s">
        <v>707</v>
      </c>
      <c r="D21" s="10" t="s">
        <v>773</v>
      </c>
    </row>
    <row r="22" customFormat="false" ht="23.85" hidden="false" customHeight="false" outlineLevel="0" collapsed="false">
      <c r="A22" s="10" t="s">
        <v>358</v>
      </c>
      <c r="B22" s="10" t="s">
        <v>518</v>
      </c>
      <c r="C22" s="10" t="s">
        <v>708</v>
      </c>
      <c r="D22" s="10" t="s">
        <v>774</v>
      </c>
    </row>
    <row r="23" customFormat="false" ht="23.85" hidden="false" customHeight="false" outlineLevel="0" collapsed="false">
      <c r="A23" s="10" t="s">
        <v>388</v>
      </c>
      <c r="B23" s="10" t="s">
        <v>519</v>
      </c>
      <c r="C23" s="10" t="s">
        <v>709</v>
      </c>
      <c r="D23" s="10" t="s">
        <v>775</v>
      </c>
    </row>
    <row r="24" customFormat="false" ht="15" hidden="false" customHeight="false" outlineLevel="0" collapsed="false">
      <c r="A24" s="10" t="s">
        <v>361</v>
      </c>
      <c r="B24" s="10" t="s">
        <v>603</v>
      </c>
      <c r="C24" s="10" t="s">
        <v>742</v>
      </c>
      <c r="D24" s="10" t="s">
        <v>803</v>
      </c>
    </row>
    <row r="25" customFormat="false" ht="15" hidden="false" customHeight="false" outlineLevel="0" collapsed="false">
      <c r="A25" s="10" t="s">
        <v>824</v>
      </c>
      <c r="B25" s="10" t="s">
        <v>606</v>
      </c>
      <c r="C25" s="10" t="s">
        <v>743</v>
      </c>
      <c r="D25" s="10" t="s">
        <v>804</v>
      </c>
    </row>
    <row r="26" customFormat="false" ht="15" hidden="false" customHeight="false" outlineLevel="0" collapsed="false">
      <c r="A26" s="10" t="s">
        <v>825</v>
      </c>
      <c r="B26" s="10" t="s">
        <v>504</v>
      </c>
      <c r="C26" s="10" t="s">
        <v>704</v>
      </c>
      <c r="D26" s="10" t="s">
        <v>805</v>
      </c>
    </row>
    <row r="27" customFormat="false" ht="15" hidden="false" customHeight="false" outlineLevel="0" collapsed="false">
      <c r="A27" s="10" t="s">
        <v>398</v>
      </c>
      <c r="B27" s="10" t="s">
        <v>609</v>
      </c>
      <c r="C27" s="10" t="s">
        <v>603</v>
      </c>
      <c r="D27" s="10" t="s">
        <v>806</v>
      </c>
    </row>
    <row r="28" customFormat="false" ht="15" hidden="false" customHeight="false" outlineLevel="0" collapsed="false">
      <c r="A28" s="10" t="s">
        <v>826</v>
      </c>
      <c r="B28" s="10" t="s">
        <v>611</v>
      </c>
      <c r="C28" s="10" t="s">
        <v>744</v>
      </c>
      <c r="D28" s="10" t="s">
        <v>744</v>
      </c>
    </row>
    <row r="29" customFormat="false" ht="15" hidden="false" customHeight="false" outlineLevel="0" collapsed="false">
      <c r="A29" s="10" t="s">
        <v>827</v>
      </c>
      <c r="B29" s="10" t="s">
        <v>613</v>
      </c>
      <c r="C29" s="10" t="s">
        <v>613</v>
      </c>
      <c r="D29" s="10" t="s">
        <v>807</v>
      </c>
    </row>
    <row r="30" customFormat="false" ht="15" hidden="false" customHeight="false" outlineLevel="0" collapsed="false">
      <c r="A30" s="10" t="s">
        <v>364</v>
      </c>
      <c r="B30" s="10" t="s">
        <v>493</v>
      </c>
      <c r="C30" s="10" t="s">
        <v>755</v>
      </c>
      <c r="D30" s="10" t="s">
        <v>409</v>
      </c>
    </row>
    <row r="31" customFormat="false" ht="15" hidden="false" customHeight="false" outlineLevel="0" collapsed="false">
      <c r="A31" s="10" t="s">
        <v>640</v>
      </c>
      <c r="B31" s="10" t="s">
        <v>495</v>
      </c>
      <c r="C31" s="10" t="s">
        <v>702</v>
      </c>
      <c r="D31" s="10" t="s">
        <v>764</v>
      </c>
    </row>
    <row r="32" customFormat="false" ht="15" hidden="false" customHeight="false" outlineLevel="0" collapsed="false">
      <c r="A32" s="10" t="s">
        <v>641</v>
      </c>
      <c r="B32" s="10" t="s">
        <v>500</v>
      </c>
      <c r="C32" s="10" t="s">
        <v>699</v>
      </c>
      <c r="D32" s="10" t="s">
        <v>699</v>
      </c>
    </row>
    <row r="33" customFormat="false" ht="15" hidden="false" customHeight="false" outlineLevel="0" collapsed="false">
      <c r="A33" s="10" t="s">
        <v>642</v>
      </c>
      <c r="B33" s="10" t="s">
        <v>499</v>
      </c>
      <c r="C33" s="10" t="s">
        <v>500</v>
      </c>
      <c r="D33" s="10" t="s">
        <v>500</v>
      </c>
    </row>
    <row r="34" customFormat="false" ht="15" hidden="false" customHeight="false" outlineLevel="0" collapsed="false">
      <c r="A34" s="10" t="s">
        <v>643</v>
      </c>
      <c r="B34" s="10" t="s">
        <v>644</v>
      </c>
      <c r="C34" s="10" t="s">
        <v>756</v>
      </c>
      <c r="D34" s="10" t="s">
        <v>768</v>
      </c>
    </row>
    <row r="35" customFormat="false" ht="15" hidden="false" customHeight="false" outlineLevel="0" collapsed="false">
      <c r="A35" s="10" t="s">
        <v>645</v>
      </c>
      <c r="B35" s="10" t="s">
        <v>502</v>
      </c>
      <c r="C35" s="10" t="s">
        <v>757</v>
      </c>
      <c r="D35" s="10" t="s">
        <v>772</v>
      </c>
    </row>
    <row r="36" customFormat="false" ht="15" hidden="false" customHeight="false" outlineLevel="0" collapsed="false">
      <c r="A36" s="10" t="s">
        <v>646</v>
      </c>
      <c r="B36" s="10" t="s">
        <v>402</v>
      </c>
      <c r="C36" s="10" t="s">
        <v>758</v>
      </c>
      <c r="D36" s="10" t="s">
        <v>660</v>
      </c>
    </row>
    <row r="37" customFormat="false" ht="15" hidden="false" customHeight="false" outlineLevel="0" collapsed="false">
      <c r="A37" s="10" t="s">
        <v>647</v>
      </c>
      <c r="B37" s="10" t="s">
        <v>648</v>
      </c>
      <c r="C37" s="10" t="s">
        <v>759</v>
      </c>
      <c r="D37" s="10" t="s">
        <v>769</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6"/>
    <col collapsed="false" customWidth="true" hidden="false" outlineLevel="0" max="3" min="3" style="0" width="60"/>
  </cols>
  <sheetData>
    <row r="1" customFormat="false" ht="17.35" hidden="false" customHeight="false" outlineLevel="0" collapsed="false">
      <c r="A1" s="7" t="s">
        <v>828</v>
      </c>
    </row>
    <row r="2" customFormat="false" ht="45" hidden="false" customHeight="true" outlineLevel="0" collapsed="false">
      <c r="A2" s="8" t="s">
        <v>829</v>
      </c>
      <c r="B2" s="8"/>
      <c r="C2" s="8"/>
    </row>
    <row r="4" customFormat="false" ht="15" hidden="false" customHeight="false" outlineLevel="0" collapsed="false">
      <c r="A4" s="9" t="s">
        <v>830</v>
      </c>
      <c r="B4" s="9" t="s">
        <v>831</v>
      </c>
      <c r="C4" s="9" t="s">
        <v>832</v>
      </c>
    </row>
    <row r="5" customFormat="false" ht="15" hidden="false" customHeight="false" outlineLevel="0" collapsed="false">
      <c r="A5" s="10" t="s">
        <v>833</v>
      </c>
      <c r="B5" s="10" t="s">
        <v>834</v>
      </c>
      <c r="C5" s="10" t="s">
        <v>353</v>
      </c>
    </row>
    <row r="6" customFormat="false" ht="15" hidden="false" customHeight="false" outlineLevel="0" collapsed="false">
      <c r="A6" s="10" t="s">
        <v>500</v>
      </c>
      <c r="B6" s="10" t="s">
        <v>835</v>
      </c>
      <c r="C6" s="10" t="s">
        <v>836</v>
      </c>
    </row>
    <row r="7" customFormat="false" ht="15" hidden="false" customHeight="false" outlineLevel="0" collapsed="false">
      <c r="A7" s="10" t="s">
        <v>493</v>
      </c>
      <c r="B7" s="10" t="s">
        <v>835</v>
      </c>
      <c r="C7" s="10" t="s">
        <v>837</v>
      </c>
    </row>
    <row r="8" customFormat="false" ht="15" hidden="false" customHeight="false" outlineLevel="0" collapsed="false">
      <c r="A8" s="10" t="s">
        <v>495</v>
      </c>
      <c r="B8" s="10" t="s">
        <v>835</v>
      </c>
      <c r="C8" s="10" t="s">
        <v>838</v>
      </c>
    </row>
    <row r="9" customFormat="false" ht="15" hidden="false" customHeight="false" outlineLevel="0" collapsed="false">
      <c r="A9" s="10" t="s">
        <v>839</v>
      </c>
      <c r="B9" s="10" t="s">
        <v>840</v>
      </c>
      <c r="C9" s="10" t="s">
        <v>841</v>
      </c>
    </row>
    <row r="10" customFormat="false" ht="15" hidden="false" customHeight="false" outlineLevel="0" collapsed="false">
      <c r="A10" s="10" t="s">
        <v>766</v>
      </c>
      <c r="B10" s="10" t="s">
        <v>329</v>
      </c>
      <c r="C10" s="10" t="s">
        <v>842</v>
      </c>
    </row>
    <row r="11" customFormat="false" ht="15" hidden="false" customHeight="false" outlineLevel="0" collapsed="false">
      <c r="A11" s="10" t="s">
        <v>843</v>
      </c>
      <c r="B11" s="10" t="s">
        <v>329</v>
      </c>
      <c r="C11" s="10" t="s">
        <v>844</v>
      </c>
    </row>
    <row r="12" customFormat="false" ht="15" hidden="false" customHeight="false" outlineLevel="0" collapsed="false">
      <c r="A12" s="10" t="s">
        <v>845</v>
      </c>
      <c r="B12" s="10" t="s">
        <v>846</v>
      </c>
      <c r="C12" s="10" t="s">
        <v>847</v>
      </c>
    </row>
    <row r="13" customFormat="false" ht="15" hidden="false" customHeight="false" outlineLevel="0" collapsed="false">
      <c r="A13" s="10" t="s">
        <v>303</v>
      </c>
      <c r="B13" s="10" t="s">
        <v>848</v>
      </c>
      <c r="C13" s="10" t="s">
        <v>849</v>
      </c>
    </row>
    <row r="14" customFormat="false" ht="15" hidden="false" customHeight="false" outlineLevel="0" collapsed="false">
      <c r="A14" s="10" t="s">
        <v>850</v>
      </c>
      <c r="B14" s="10" t="s">
        <v>851</v>
      </c>
      <c r="C14" s="10" t="s">
        <v>852</v>
      </c>
    </row>
    <row r="15" customFormat="false" ht="15" hidden="false" customHeight="false" outlineLevel="0" collapsed="false">
      <c r="A15" s="10" t="s">
        <v>853</v>
      </c>
      <c r="B15" s="10" t="s">
        <v>854</v>
      </c>
      <c r="C15" s="10" t="s">
        <v>855</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4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34"/>
    <col collapsed="false" customWidth="true" hidden="false" outlineLevel="0" max="4" min="4" style="0" width="12"/>
  </cols>
  <sheetData>
    <row r="1" customFormat="false" ht="17.35" hidden="false" customHeight="false" outlineLevel="0" collapsed="false">
      <c r="A1" s="7" t="s">
        <v>856</v>
      </c>
    </row>
    <row r="2" customFormat="false" ht="45" hidden="false" customHeight="true" outlineLevel="0" collapsed="false">
      <c r="A2" s="8" t="s">
        <v>857</v>
      </c>
      <c r="B2" s="8"/>
      <c r="C2" s="8"/>
      <c r="D2" s="8"/>
    </row>
    <row r="4" customFormat="false" ht="15" hidden="false" customHeight="false" outlineLevel="0" collapsed="false">
      <c r="A4" s="9" t="s">
        <v>858</v>
      </c>
      <c r="B4" s="9" t="s">
        <v>859</v>
      </c>
      <c r="C4" s="9" t="s">
        <v>860</v>
      </c>
      <c r="D4" s="9" t="s">
        <v>169</v>
      </c>
    </row>
    <row r="5" customFormat="false" ht="15" hidden="false" customHeight="false" outlineLevel="0" collapsed="false">
      <c r="A5" s="10" t="s">
        <v>861</v>
      </c>
      <c r="B5" s="10" t="s">
        <v>862</v>
      </c>
      <c r="C5" s="10" t="s">
        <v>863</v>
      </c>
      <c r="D5" s="10" t="s">
        <v>864</v>
      </c>
    </row>
    <row r="6" customFormat="false" ht="15" hidden="false" customHeight="false" outlineLevel="0" collapsed="false">
      <c r="A6" s="10" t="s">
        <v>861</v>
      </c>
      <c r="B6" s="10" t="s">
        <v>862</v>
      </c>
      <c r="C6" s="10" t="s">
        <v>865</v>
      </c>
      <c r="D6" s="10" t="s">
        <v>864</v>
      </c>
    </row>
    <row r="7" customFormat="false" ht="15" hidden="false" customHeight="false" outlineLevel="0" collapsed="false">
      <c r="A7" s="10" t="s">
        <v>861</v>
      </c>
      <c r="B7" s="10" t="s">
        <v>862</v>
      </c>
      <c r="C7" s="10" t="s">
        <v>866</v>
      </c>
      <c r="D7" s="10" t="s">
        <v>864</v>
      </c>
    </row>
    <row r="8" customFormat="false" ht="15" hidden="false" customHeight="false" outlineLevel="0" collapsed="false">
      <c r="A8" s="10" t="s">
        <v>861</v>
      </c>
      <c r="B8" s="10" t="s">
        <v>862</v>
      </c>
      <c r="C8" s="10" t="s">
        <v>867</v>
      </c>
      <c r="D8" s="10" t="s">
        <v>864</v>
      </c>
    </row>
    <row r="9" customFormat="false" ht="15" hidden="false" customHeight="false" outlineLevel="0" collapsed="false">
      <c r="A9" s="10" t="s">
        <v>861</v>
      </c>
      <c r="B9" s="10" t="s">
        <v>862</v>
      </c>
      <c r="C9" s="10" t="s">
        <v>868</v>
      </c>
      <c r="D9" s="10" t="s">
        <v>864</v>
      </c>
    </row>
    <row r="10" customFormat="false" ht="15" hidden="false" customHeight="false" outlineLevel="0" collapsed="false">
      <c r="A10" s="10" t="s">
        <v>861</v>
      </c>
      <c r="B10" s="10" t="s">
        <v>862</v>
      </c>
      <c r="C10" s="10" t="s">
        <v>869</v>
      </c>
      <c r="D10" s="10" t="s">
        <v>864</v>
      </c>
    </row>
    <row r="11" customFormat="false" ht="15" hidden="false" customHeight="false" outlineLevel="0" collapsed="false">
      <c r="A11" s="10" t="s">
        <v>861</v>
      </c>
      <c r="B11" s="10" t="s">
        <v>862</v>
      </c>
      <c r="C11" s="10" t="s">
        <v>870</v>
      </c>
      <c r="D11" s="10" t="s">
        <v>864</v>
      </c>
    </row>
    <row r="12" customFormat="false" ht="15" hidden="false" customHeight="false" outlineLevel="0" collapsed="false">
      <c r="A12" s="10" t="s">
        <v>861</v>
      </c>
      <c r="B12" s="10" t="s">
        <v>862</v>
      </c>
      <c r="C12" s="10" t="s">
        <v>871</v>
      </c>
      <c r="D12" s="10" t="s">
        <v>864</v>
      </c>
    </row>
    <row r="13" customFormat="false" ht="15" hidden="false" customHeight="false" outlineLevel="0" collapsed="false">
      <c r="A13" s="10" t="s">
        <v>861</v>
      </c>
      <c r="B13" s="10" t="s">
        <v>862</v>
      </c>
      <c r="C13" s="10" t="s">
        <v>872</v>
      </c>
      <c r="D13" s="10" t="s">
        <v>864</v>
      </c>
    </row>
    <row r="14" customFormat="false" ht="15" hidden="false" customHeight="false" outlineLevel="0" collapsed="false">
      <c r="A14" s="10" t="s">
        <v>861</v>
      </c>
      <c r="B14" s="10" t="s">
        <v>862</v>
      </c>
      <c r="C14" s="10" t="s">
        <v>873</v>
      </c>
      <c r="D14" s="10" t="s">
        <v>864</v>
      </c>
    </row>
    <row r="15" customFormat="false" ht="15" hidden="false" customHeight="false" outlineLevel="0" collapsed="false">
      <c r="A15" s="10" t="s">
        <v>861</v>
      </c>
      <c r="B15" s="10" t="s">
        <v>862</v>
      </c>
      <c r="C15" s="10" t="s">
        <v>874</v>
      </c>
      <c r="D15" s="10" t="s">
        <v>864</v>
      </c>
    </row>
    <row r="16" customFormat="false" ht="15" hidden="false" customHeight="false" outlineLevel="0" collapsed="false">
      <c r="A16" s="10" t="s">
        <v>861</v>
      </c>
      <c r="B16" s="10" t="s">
        <v>862</v>
      </c>
      <c r="C16" s="10" t="s">
        <v>875</v>
      </c>
      <c r="D16" s="10" t="s">
        <v>864</v>
      </c>
    </row>
    <row r="17" customFormat="false" ht="15" hidden="false" customHeight="false" outlineLevel="0" collapsed="false">
      <c r="A17" s="10" t="s">
        <v>861</v>
      </c>
      <c r="B17" s="10" t="s">
        <v>862</v>
      </c>
      <c r="C17" s="10" t="s">
        <v>876</v>
      </c>
      <c r="D17" s="10" t="s">
        <v>864</v>
      </c>
    </row>
    <row r="18" customFormat="false" ht="15" hidden="false" customHeight="false" outlineLevel="0" collapsed="false">
      <c r="A18" s="10" t="s">
        <v>861</v>
      </c>
      <c r="B18" s="10" t="s">
        <v>862</v>
      </c>
      <c r="C18" s="10" t="s">
        <v>289</v>
      </c>
      <c r="D18" s="10" t="s">
        <v>864</v>
      </c>
    </row>
    <row r="19" customFormat="false" ht="15" hidden="false" customHeight="false" outlineLevel="0" collapsed="false">
      <c r="A19" s="10" t="s">
        <v>861</v>
      </c>
      <c r="B19" s="10" t="s">
        <v>862</v>
      </c>
      <c r="C19" s="10" t="s">
        <v>287</v>
      </c>
      <c r="D19" s="10" t="s">
        <v>177</v>
      </c>
    </row>
    <row r="20" customFormat="false" ht="15" hidden="false" customHeight="false" outlineLevel="0" collapsed="false">
      <c r="A20" s="10" t="s">
        <v>861</v>
      </c>
      <c r="B20" s="10" t="s">
        <v>877</v>
      </c>
      <c r="C20" s="10" t="s">
        <v>877</v>
      </c>
      <c r="D20" s="10" t="s">
        <v>864</v>
      </c>
    </row>
    <row r="21" customFormat="false" ht="15" hidden="false" customHeight="false" outlineLevel="0" collapsed="false">
      <c r="A21" s="10" t="s">
        <v>861</v>
      </c>
      <c r="B21" s="10" t="s">
        <v>877</v>
      </c>
      <c r="C21" s="10" t="s">
        <v>878</v>
      </c>
      <c r="D21" s="10" t="s">
        <v>864</v>
      </c>
    </row>
    <row r="22" customFormat="false" ht="15" hidden="false" customHeight="false" outlineLevel="0" collapsed="false">
      <c r="A22" s="10" t="s">
        <v>861</v>
      </c>
      <c r="B22" s="10" t="s">
        <v>877</v>
      </c>
      <c r="C22" s="10" t="s">
        <v>879</v>
      </c>
      <c r="D22" s="10" t="s">
        <v>864</v>
      </c>
    </row>
    <row r="23" customFormat="false" ht="15" hidden="false" customHeight="false" outlineLevel="0" collapsed="false">
      <c r="A23" s="10" t="s">
        <v>861</v>
      </c>
      <c r="B23" s="10" t="s">
        <v>877</v>
      </c>
      <c r="C23" s="10" t="s">
        <v>880</v>
      </c>
      <c r="D23" s="10" t="s">
        <v>864</v>
      </c>
    </row>
    <row r="24" customFormat="false" ht="15" hidden="false" customHeight="false" outlineLevel="0" collapsed="false">
      <c r="A24" s="10" t="s">
        <v>861</v>
      </c>
      <c r="B24" s="10" t="s">
        <v>877</v>
      </c>
      <c r="C24" s="10" t="s">
        <v>881</v>
      </c>
      <c r="D24" s="10" t="s">
        <v>864</v>
      </c>
    </row>
    <row r="25" customFormat="false" ht="15" hidden="false" customHeight="false" outlineLevel="0" collapsed="false">
      <c r="A25" s="10" t="s">
        <v>861</v>
      </c>
      <c r="B25" s="10" t="s">
        <v>877</v>
      </c>
      <c r="C25" s="10" t="s">
        <v>882</v>
      </c>
      <c r="D25" s="10" t="s">
        <v>864</v>
      </c>
    </row>
    <row r="26" customFormat="false" ht="15" hidden="false" customHeight="false" outlineLevel="0" collapsed="false">
      <c r="A26" s="10" t="s">
        <v>861</v>
      </c>
      <c r="B26" s="10" t="s">
        <v>877</v>
      </c>
      <c r="C26" s="10" t="s">
        <v>883</v>
      </c>
      <c r="D26" s="10" t="s">
        <v>864</v>
      </c>
    </row>
    <row r="27" customFormat="false" ht="15" hidden="false" customHeight="false" outlineLevel="0" collapsed="false">
      <c r="A27" s="10" t="s">
        <v>861</v>
      </c>
      <c r="B27" s="10" t="s">
        <v>877</v>
      </c>
      <c r="C27" s="10" t="s">
        <v>884</v>
      </c>
      <c r="D27" s="10" t="s">
        <v>864</v>
      </c>
    </row>
    <row r="28" customFormat="false" ht="15" hidden="false" customHeight="false" outlineLevel="0" collapsed="false">
      <c r="A28" s="10" t="s">
        <v>861</v>
      </c>
      <c r="B28" s="10" t="s">
        <v>877</v>
      </c>
      <c r="C28" s="10" t="s">
        <v>885</v>
      </c>
      <c r="D28" s="10" t="s">
        <v>177</v>
      </c>
    </row>
    <row r="29" customFormat="false" ht="15" hidden="false" customHeight="false" outlineLevel="0" collapsed="false">
      <c r="A29" s="10" t="s">
        <v>861</v>
      </c>
      <c r="B29" s="10" t="s">
        <v>877</v>
      </c>
      <c r="C29" s="10" t="s">
        <v>886</v>
      </c>
      <c r="D29" s="10" t="s">
        <v>177</v>
      </c>
    </row>
    <row r="30" customFormat="false" ht="15" hidden="false" customHeight="false" outlineLevel="0" collapsed="false">
      <c r="A30" s="10" t="s">
        <v>861</v>
      </c>
      <c r="B30" s="10" t="s">
        <v>887</v>
      </c>
      <c r="C30" s="10" t="s">
        <v>888</v>
      </c>
      <c r="D30" s="10" t="s">
        <v>864</v>
      </c>
    </row>
    <row r="31" customFormat="false" ht="15" hidden="false" customHeight="false" outlineLevel="0" collapsed="false">
      <c r="A31" s="10" t="s">
        <v>861</v>
      </c>
      <c r="B31" s="10" t="s">
        <v>887</v>
      </c>
      <c r="C31" s="10" t="s">
        <v>889</v>
      </c>
      <c r="D31" s="10" t="s">
        <v>864</v>
      </c>
    </row>
    <row r="32" customFormat="false" ht="15" hidden="false" customHeight="false" outlineLevel="0" collapsed="false">
      <c r="A32" s="10" t="s">
        <v>861</v>
      </c>
      <c r="B32" s="10" t="s">
        <v>887</v>
      </c>
      <c r="C32" s="10" t="s">
        <v>890</v>
      </c>
      <c r="D32" s="10" t="s">
        <v>864</v>
      </c>
    </row>
    <row r="33" customFormat="false" ht="15" hidden="false" customHeight="false" outlineLevel="0" collapsed="false">
      <c r="A33" s="10" t="s">
        <v>861</v>
      </c>
      <c r="B33" s="10" t="s">
        <v>887</v>
      </c>
      <c r="C33" s="10" t="s">
        <v>891</v>
      </c>
      <c r="D33" s="10" t="s">
        <v>864</v>
      </c>
    </row>
    <row r="34" customFormat="false" ht="15" hidden="false" customHeight="false" outlineLevel="0" collapsed="false">
      <c r="A34" s="10" t="s">
        <v>861</v>
      </c>
      <c r="B34" s="10" t="s">
        <v>887</v>
      </c>
      <c r="C34" s="10" t="s">
        <v>892</v>
      </c>
      <c r="D34" s="10" t="s">
        <v>864</v>
      </c>
    </row>
    <row r="35" customFormat="false" ht="15" hidden="false" customHeight="false" outlineLevel="0" collapsed="false">
      <c r="A35" s="10" t="s">
        <v>861</v>
      </c>
      <c r="B35" s="10" t="s">
        <v>887</v>
      </c>
      <c r="C35" s="10" t="s">
        <v>893</v>
      </c>
      <c r="D35" s="10" t="s">
        <v>177</v>
      </c>
    </row>
    <row r="36" customFormat="false" ht="15" hidden="false" customHeight="false" outlineLevel="0" collapsed="false">
      <c r="A36" s="10" t="s">
        <v>861</v>
      </c>
      <c r="B36" s="10" t="s">
        <v>894</v>
      </c>
      <c r="C36" s="10" t="s">
        <v>895</v>
      </c>
      <c r="D36" s="10" t="s">
        <v>864</v>
      </c>
    </row>
    <row r="37" customFormat="false" ht="15" hidden="false" customHeight="false" outlineLevel="0" collapsed="false">
      <c r="A37" s="10" t="s">
        <v>861</v>
      </c>
      <c r="B37" s="10" t="s">
        <v>894</v>
      </c>
      <c r="C37" s="10" t="s">
        <v>896</v>
      </c>
      <c r="D37" s="10" t="s">
        <v>864</v>
      </c>
    </row>
    <row r="38" customFormat="false" ht="15" hidden="false" customHeight="false" outlineLevel="0" collapsed="false">
      <c r="A38" s="10" t="s">
        <v>861</v>
      </c>
      <c r="B38" s="10" t="s">
        <v>894</v>
      </c>
      <c r="C38" s="10" t="s">
        <v>897</v>
      </c>
      <c r="D38" s="10" t="s">
        <v>864</v>
      </c>
    </row>
    <row r="39" customFormat="false" ht="15" hidden="false" customHeight="false" outlineLevel="0" collapsed="false">
      <c r="A39" s="10" t="s">
        <v>861</v>
      </c>
      <c r="B39" s="10" t="s">
        <v>894</v>
      </c>
      <c r="C39" s="10" t="s">
        <v>898</v>
      </c>
      <c r="D39" s="10" t="s">
        <v>864</v>
      </c>
    </row>
    <row r="40" customFormat="false" ht="15" hidden="false" customHeight="false" outlineLevel="0" collapsed="false">
      <c r="A40" s="10" t="s">
        <v>861</v>
      </c>
      <c r="B40" s="10" t="s">
        <v>894</v>
      </c>
      <c r="C40" s="10" t="s">
        <v>899</v>
      </c>
      <c r="D40" s="10" t="s">
        <v>864</v>
      </c>
    </row>
    <row r="41" customFormat="false" ht="15" hidden="false" customHeight="false" outlineLevel="0" collapsed="false">
      <c r="A41" s="10" t="s">
        <v>861</v>
      </c>
      <c r="B41" s="10" t="s">
        <v>894</v>
      </c>
      <c r="C41" s="10" t="s">
        <v>900</v>
      </c>
      <c r="D41" s="10" t="s">
        <v>864</v>
      </c>
    </row>
    <row r="42" customFormat="false" ht="15" hidden="false" customHeight="false" outlineLevel="0" collapsed="false">
      <c r="A42" s="10" t="s">
        <v>861</v>
      </c>
      <c r="B42" s="10" t="s">
        <v>894</v>
      </c>
      <c r="C42" s="10" t="s">
        <v>901</v>
      </c>
      <c r="D42" s="10" t="s">
        <v>864</v>
      </c>
    </row>
    <row r="43" customFormat="false" ht="15" hidden="false" customHeight="false" outlineLevel="0" collapsed="false">
      <c r="A43" s="10" t="s">
        <v>861</v>
      </c>
      <c r="B43" s="10" t="s">
        <v>894</v>
      </c>
      <c r="C43" s="10" t="s">
        <v>902</v>
      </c>
      <c r="D43" s="10" t="s">
        <v>177</v>
      </c>
    </row>
    <row r="44" customFormat="false" ht="15" hidden="false" customHeight="false" outlineLevel="0" collapsed="false">
      <c r="A44" s="10" t="s">
        <v>861</v>
      </c>
      <c r="B44" s="10" t="s">
        <v>894</v>
      </c>
      <c r="C44" s="10" t="s">
        <v>903</v>
      </c>
      <c r="D44" s="10" t="s">
        <v>177</v>
      </c>
    </row>
    <row r="45" customFormat="false" ht="15" hidden="false" customHeight="false" outlineLevel="0" collapsed="false">
      <c r="A45" s="10" t="s">
        <v>861</v>
      </c>
      <c r="B45" s="10" t="s">
        <v>904</v>
      </c>
      <c r="C45" s="10" t="s">
        <v>905</v>
      </c>
      <c r="D45" s="10" t="s">
        <v>864</v>
      </c>
    </row>
    <row r="46" customFormat="false" ht="15" hidden="false" customHeight="false" outlineLevel="0" collapsed="false">
      <c r="A46" s="10" t="s">
        <v>861</v>
      </c>
      <c r="B46" s="10" t="s">
        <v>904</v>
      </c>
      <c r="C46" s="10" t="s">
        <v>906</v>
      </c>
      <c r="D46" s="10" t="s">
        <v>864</v>
      </c>
    </row>
    <row r="47" customFormat="false" ht="15" hidden="false" customHeight="false" outlineLevel="0" collapsed="false">
      <c r="A47" s="10" t="s">
        <v>861</v>
      </c>
      <c r="B47" s="10" t="s">
        <v>904</v>
      </c>
      <c r="C47" s="10" t="s">
        <v>907</v>
      </c>
      <c r="D47" s="10" t="s">
        <v>864</v>
      </c>
    </row>
    <row r="48" customFormat="false" ht="15" hidden="false" customHeight="false" outlineLevel="0" collapsed="false">
      <c r="A48" s="10" t="s">
        <v>861</v>
      </c>
      <c r="B48" s="10" t="s">
        <v>904</v>
      </c>
      <c r="C48" s="10" t="s">
        <v>908</v>
      </c>
      <c r="D48" s="10" t="s">
        <v>864</v>
      </c>
    </row>
    <row r="49" customFormat="false" ht="15" hidden="false" customHeight="false" outlineLevel="0" collapsed="false">
      <c r="A49" s="10" t="s">
        <v>861</v>
      </c>
      <c r="B49" s="10" t="s">
        <v>904</v>
      </c>
      <c r="C49" s="10" t="s">
        <v>909</v>
      </c>
      <c r="D49" s="10" t="s">
        <v>864</v>
      </c>
    </row>
    <row r="50" customFormat="false" ht="15" hidden="false" customHeight="false" outlineLevel="0" collapsed="false">
      <c r="A50" s="10" t="s">
        <v>861</v>
      </c>
      <c r="B50" s="10" t="s">
        <v>904</v>
      </c>
      <c r="C50" s="10" t="s">
        <v>910</v>
      </c>
      <c r="D50" s="10" t="s">
        <v>864</v>
      </c>
    </row>
    <row r="51" customFormat="false" ht="15" hidden="false" customHeight="false" outlineLevel="0" collapsed="false">
      <c r="A51" s="10" t="s">
        <v>861</v>
      </c>
      <c r="B51" s="10" t="s">
        <v>904</v>
      </c>
      <c r="C51" s="10" t="s">
        <v>911</v>
      </c>
      <c r="D51" s="10" t="s">
        <v>864</v>
      </c>
    </row>
    <row r="52" customFormat="false" ht="15" hidden="false" customHeight="false" outlineLevel="0" collapsed="false">
      <c r="A52" s="10" t="s">
        <v>861</v>
      </c>
      <c r="B52" s="10" t="s">
        <v>904</v>
      </c>
      <c r="C52" s="10" t="s">
        <v>912</v>
      </c>
      <c r="D52" s="10" t="s">
        <v>864</v>
      </c>
    </row>
    <row r="53" customFormat="false" ht="15" hidden="false" customHeight="false" outlineLevel="0" collapsed="false">
      <c r="A53" s="10" t="s">
        <v>861</v>
      </c>
      <c r="B53" s="10" t="s">
        <v>904</v>
      </c>
      <c r="C53" s="10" t="s">
        <v>913</v>
      </c>
      <c r="D53" s="10" t="s">
        <v>864</v>
      </c>
    </row>
    <row r="54" customFormat="false" ht="15" hidden="false" customHeight="false" outlineLevel="0" collapsed="false">
      <c r="A54" s="10" t="s">
        <v>861</v>
      </c>
      <c r="B54" s="10" t="s">
        <v>904</v>
      </c>
      <c r="C54" s="10" t="s">
        <v>914</v>
      </c>
      <c r="D54" s="10" t="s">
        <v>864</v>
      </c>
    </row>
    <row r="55" customFormat="false" ht="15" hidden="false" customHeight="false" outlineLevel="0" collapsed="false">
      <c r="A55" s="10" t="s">
        <v>861</v>
      </c>
      <c r="B55" s="10" t="s">
        <v>904</v>
      </c>
      <c r="C55" s="10" t="s">
        <v>915</v>
      </c>
      <c r="D55" s="10" t="s">
        <v>864</v>
      </c>
    </row>
    <row r="56" customFormat="false" ht="15" hidden="false" customHeight="false" outlineLevel="0" collapsed="false">
      <c r="A56" s="10" t="s">
        <v>861</v>
      </c>
      <c r="B56" s="10" t="s">
        <v>904</v>
      </c>
      <c r="C56" s="10" t="s">
        <v>916</v>
      </c>
      <c r="D56" s="10" t="s">
        <v>864</v>
      </c>
    </row>
    <row r="57" customFormat="false" ht="15" hidden="false" customHeight="false" outlineLevel="0" collapsed="false">
      <c r="A57" s="10" t="s">
        <v>861</v>
      </c>
      <c r="B57" s="10" t="s">
        <v>917</v>
      </c>
      <c r="C57" s="10" t="s">
        <v>918</v>
      </c>
      <c r="D57" s="10" t="s">
        <v>864</v>
      </c>
    </row>
    <row r="58" customFormat="false" ht="15" hidden="false" customHeight="false" outlineLevel="0" collapsed="false">
      <c r="A58" s="10" t="s">
        <v>861</v>
      </c>
      <c r="B58" s="10" t="s">
        <v>917</v>
      </c>
      <c r="C58" s="10" t="s">
        <v>919</v>
      </c>
      <c r="D58" s="10" t="s">
        <v>864</v>
      </c>
    </row>
    <row r="59" customFormat="false" ht="15" hidden="false" customHeight="false" outlineLevel="0" collapsed="false">
      <c r="A59" s="10" t="s">
        <v>861</v>
      </c>
      <c r="B59" s="10" t="s">
        <v>917</v>
      </c>
      <c r="C59" s="10" t="s">
        <v>920</v>
      </c>
      <c r="D59" s="10" t="s">
        <v>177</v>
      </c>
    </row>
    <row r="60" customFormat="false" ht="15" hidden="false" customHeight="false" outlineLevel="0" collapsed="false">
      <c r="A60" s="10" t="s">
        <v>861</v>
      </c>
      <c r="B60" s="10" t="s">
        <v>917</v>
      </c>
      <c r="C60" s="10" t="s">
        <v>921</v>
      </c>
      <c r="D60" s="10" t="s">
        <v>177</v>
      </c>
    </row>
    <row r="61" customFormat="false" ht="15" hidden="false" customHeight="false" outlineLevel="0" collapsed="false">
      <c r="A61" s="10" t="s">
        <v>861</v>
      </c>
      <c r="B61" s="10" t="s">
        <v>917</v>
      </c>
      <c r="C61" s="10" t="s">
        <v>922</v>
      </c>
      <c r="D61" s="10" t="s">
        <v>864</v>
      </c>
    </row>
    <row r="62" customFormat="false" ht="15" hidden="false" customHeight="false" outlineLevel="0" collapsed="false">
      <c r="A62" s="10" t="s">
        <v>861</v>
      </c>
      <c r="B62" s="10" t="s">
        <v>917</v>
      </c>
      <c r="C62" s="10" t="s">
        <v>923</v>
      </c>
      <c r="D62" s="10" t="s">
        <v>864</v>
      </c>
    </row>
    <row r="63" customFormat="false" ht="15" hidden="false" customHeight="false" outlineLevel="0" collapsed="false">
      <c r="A63" s="10" t="s">
        <v>861</v>
      </c>
      <c r="B63" s="10" t="s">
        <v>917</v>
      </c>
      <c r="C63" s="10" t="s">
        <v>924</v>
      </c>
      <c r="D63" s="10" t="s">
        <v>177</v>
      </c>
    </row>
    <row r="64" customFormat="false" ht="15" hidden="false" customHeight="false" outlineLevel="0" collapsed="false">
      <c r="A64" s="10" t="s">
        <v>861</v>
      </c>
      <c r="B64" s="10" t="s">
        <v>917</v>
      </c>
      <c r="C64" s="10" t="s">
        <v>925</v>
      </c>
      <c r="D64" s="10" t="s">
        <v>864</v>
      </c>
    </row>
    <row r="65" customFormat="false" ht="15" hidden="false" customHeight="false" outlineLevel="0" collapsed="false">
      <c r="A65" s="10" t="s">
        <v>861</v>
      </c>
      <c r="B65" s="10" t="s">
        <v>917</v>
      </c>
      <c r="C65" s="10" t="s">
        <v>926</v>
      </c>
      <c r="D65" s="10" t="s">
        <v>864</v>
      </c>
    </row>
    <row r="66" customFormat="false" ht="15" hidden="false" customHeight="false" outlineLevel="0" collapsed="false">
      <c r="A66" s="10" t="s">
        <v>861</v>
      </c>
      <c r="B66" s="10" t="s">
        <v>917</v>
      </c>
      <c r="C66" s="10" t="s">
        <v>927</v>
      </c>
      <c r="D66" s="10" t="s">
        <v>864</v>
      </c>
    </row>
    <row r="67" customFormat="false" ht="15" hidden="false" customHeight="false" outlineLevel="0" collapsed="false">
      <c r="A67" s="10" t="s">
        <v>861</v>
      </c>
      <c r="B67" s="10" t="s">
        <v>917</v>
      </c>
      <c r="C67" s="10" t="s">
        <v>928</v>
      </c>
      <c r="D67" s="10" t="s">
        <v>177</v>
      </c>
    </row>
    <row r="68" customFormat="false" ht="15" hidden="false" customHeight="false" outlineLevel="0" collapsed="false">
      <c r="A68" s="10" t="s">
        <v>861</v>
      </c>
      <c r="B68" s="10" t="s">
        <v>917</v>
      </c>
      <c r="C68" s="10" t="s">
        <v>929</v>
      </c>
      <c r="D68" s="10" t="s">
        <v>177</v>
      </c>
    </row>
    <row r="69" customFormat="false" ht="15" hidden="false" customHeight="false" outlineLevel="0" collapsed="false">
      <c r="A69" s="10" t="s">
        <v>861</v>
      </c>
      <c r="B69" s="10" t="s">
        <v>930</v>
      </c>
      <c r="C69" s="10" t="s">
        <v>931</v>
      </c>
      <c r="D69" s="10" t="s">
        <v>864</v>
      </c>
    </row>
    <row r="70" customFormat="false" ht="15" hidden="false" customHeight="false" outlineLevel="0" collapsed="false">
      <c r="A70" s="10" t="s">
        <v>861</v>
      </c>
      <c r="B70" s="10" t="s">
        <v>930</v>
      </c>
      <c r="C70" s="10" t="s">
        <v>932</v>
      </c>
      <c r="D70" s="10" t="s">
        <v>864</v>
      </c>
    </row>
    <row r="71" customFormat="false" ht="15" hidden="false" customHeight="false" outlineLevel="0" collapsed="false">
      <c r="A71" s="10" t="s">
        <v>861</v>
      </c>
      <c r="B71" s="10" t="s">
        <v>930</v>
      </c>
      <c r="C71" s="10" t="s">
        <v>933</v>
      </c>
      <c r="D71" s="10" t="s">
        <v>864</v>
      </c>
    </row>
    <row r="72" customFormat="false" ht="15" hidden="false" customHeight="false" outlineLevel="0" collapsed="false">
      <c r="A72" s="10" t="s">
        <v>861</v>
      </c>
      <c r="B72" s="10" t="s">
        <v>930</v>
      </c>
      <c r="C72" s="10" t="s">
        <v>934</v>
      </c>
      <c r="D72" s="10" t="s">
        <v>864</v>
      </c>
    </row>
    <row r="73" customFormat="false" ht="15" hidden="false" customHeight="false" outlineLevel="0" collapsed="false">
      <c r="A73" s="10" t="s">
        <v>861</v>
      </c>
      <c r="B73" s="10" t="s">
        <v>930</v>
      </c>
      <c r="C73" s="10" t="s">
        <v>935</v>
      </c>
      <c r="D73" s="10" t="s">
        <v>864</v>
      </c>
    </row>
    <row r="74" customFormat="false" ht="15" hidden="false" customHeight="false" outlineLevel="0" collapsed="false">
      <c r="A74" s="10" t="s">
        <v>861</v>
      </c>
      <c r="B74" s="10" t="s">
        <v>930</v>
      </c>
      <c r="C74" s="10" t="s">
        <v>936</v>
      </c>
      <c r="D74" s="10" t="s">
        <v>864</v>
      </c>
    </row>
    <row r="75" customFormat="false" ht="15" hidden="false" customHeight="false" outlineLevel="0" collapsed="false">
      <c r="A75" s="10" t="s">
        <v>861</v>
      </c>
      <c r="B75" s="10" t="s">
        <v>930</v>
      </c>
      <c r="C75" s="10" t="s">
        <v>937</v>
      </c>
      <c r="D75" s="10" t="s">
        <v>864</v>
      </c>
    </row>
    <row r="76" customFormat="false" ht="15" hidden="false" customHeight="false" outlineLevel="0" collapsed="false">
      <c r="A76" s="10" t="s">
        <v>861</v>
      </c>
      <c r="B76" s="10" t="s">
        <v>930</v>
      </c>
      <c r="C76" s="10" t="s">
        <v>938</v>
      </c>
      <c r="D76" s="10" t="s">
        <v>864</v>
      </c>
    </row>
    <row r="77" customFormat="false" ht="15" hidden="false" customHeight="false" outlineLevel="0" collapsed="false">
      <c r="A77" s="10" t="s">
        <v>861</v>
      </c>
      <c r="B77" s="10" t="s">
        <v>930</v>
      </c>
      <c r="C77" s="10" t="s">
        <v>939</v>
      </c>
      <c r="D77" s="10" t="s">
        <v>864</v>
      </c>
    </row>
    <row r="78" customFormat="false" ht="15" hidden="false" customHeight="false" outlineLevel="0" collapsed="false">
      <c r="A78" s="10" t="s">
        <v>861</v>
      </c>
      <c r="B78" s="10" t="s">
        <v>930</v>
      </c>
      <c r="C78" s="10" t="s">
        <v>940</v>
      </c>
      <c r="D78" s="10" t="s">
        <v>864</v>
      </c>
    </row>
    <row r="79" customFormat="false" ht="15" hidden="false" customHeight="false" outlineLevel="0" collapsed="false">
      <c r="A79" s="10" t="s">
        <v>861</v>
      </c>
      <c r="B79" s="10" t="s">
        <v>941</v>
      </c>
      <c r="C79" s="10" t="s">
        <v>942</v>
      </c>
      <c r="D79" s="10" t="s">
        <v>177</v>
      </c>
    </row>
    <row r="80" customFormat="false" ht="15" hidden="false" customHeight="false" outlineLevel="0" collapsed="false">
      <c r="A80" s="10" t="s">
        <v>861</v>
      </c>
      <c r="B80" s="10" t="s">
        <v>941</v>
      </c>
      <c r="C80" s="10" t="s">
        <v>943</v>
      </c>
      <c r="D80" s="10" t="s">
        <v>177</v>
      </c>
    </row>
    <row r="81" customFormat="false" ht="15" hidden="false" customHeight="false" outlineLevel="0" collapsed="false">
      <c r="A81" s="10" t="s">
        <v>861</v>
      </c>
      <c r="B81" s="10" t="s">
        <v>941</v>
      </c>
      <c r="C81" s="10" t="s">
        <v>944</v>
      </c>
      <c r="D81" s="10" t="s">
        <v>177</v>
      </c>
    </row>
    <row r="82" customFormat="false" ht="15" hidden="false" customHeight="false" outlineLevel="0" collapsed="false">
      <c r="A82" s="10" t="s">
        <v>861</v>
      </c>
      <c r="B82" s="10" t="s">
        <v>941</v>
      </c>
      <c r="C82" s="10" t="s">
        <v>945</v>
      </c>
      <c r="D82" s="10" t="s">
        <v>177</v>
      </c>
    </row>
    <row r="83" customFormat="false" ht="15" hidden="false" customHeight="false" outlineLevel="0" collapsed="false">
      <c r="A83" s="10" t="s">
        <v>861</v>
      </c>
      <c r="B83" s="10" t="s">
        <v>941</v>
      </c>
      <c r="C83" s="10" t="s">
        <v>946</v>
      </c>
      <c r="D83" s="10" t="s">
        <v>177</v>
      </c>
    </row>
    <row r="84" customFormat="false" ht="15" hidden="false" customHeight="false" outlineLevel="0" collapsed="false">
      <c r="A84" s="10" t="s">
        <v>861</v>
      </c>
      <c r="B84" s="10" t="s">
        <v>941</v>
      </c>
      <c r="C84" s="10" t="s">
        <v>947</v>
      </c>
      <c r="D84" s="10" t="s">
        <v>177</v>
      </c>
    </row>
    <row r="85" customFormat="false" ht="15" hidden="false" customHeight="false" outlineLevel="0" collapsed="false">
      <c r="A85" s="10" t="s">
        <v>861</v>
      </c>
      <c r="B85" s="10" t="s">
        <v>941</v>
      </c>
      <c r="C85" s="10" t="s">
        <v>948</v>
      </c>
      <c r="D85" s="10" t="s">
        <v>177</v>
      </c>
    </row>
    <row r="86" customFormat="false" ht="15" hidden="false" customHeight="false" outlineLevel="0" collapsed="false">
      <c r="A86" s="10" t="s">
        <v>861</v>
      </c>
      <c r="B86" s="10" t="s">
        <v>941</v>
      </c>
      <c r="C86" s="10" t="s">
        <v>949</v>
      </c>
      <c r="D86" s="10" t="s">
        <v>864</v>
      </c>
    </row>
    <row r="87" customFormat="false" ht="15" hidden="false" customHeight="false" outlineLevel="0" collapsed="false">
      <c r="A87" s="10" t="s">
        <v>861</v>
      </c>
      <c r="B87" s="10" t="s">
        <v>950</v>
      </c>
      <c r="C87" s="10" t="s">
        <v>950</v>
      </c>
      <c r="D87" s="10" t="s">
        <v>864</v>
      </c>
    </row>
    <row r="88" customFormat="false" ht="15" hidden="false" customHeight="false" outlineLevel="0" collapsed="false">
      <c r="A88" s="10" t="s">
        <v>861</v>
      </c>
      <c r="B88" s="10" t="s">
        <v>950</v>
      </c>
      <c r="C88" s="10" t="s">
        <v>951</v>
      </c>
      <c r="D88" s="10" t="s">
        <v>864</v>
      </c>
    </row>
    <row r="89" customFormat="false" ht="15" hidden="false" customHeight="false" outlineLevel="0" collapsed="false">
      <c r="A89" s="10" t="s">
        <v>861</v>
      </c>
      <c r="B89" s="10" t="s">
        <v>950</v>
      </c>
      <c r="C89" s="10" t="s">
        <v>952</v>
      </c>
      <c r="D89" s="10" t="s">
        <v>864</v>
      </c>
    </row>
    <row r="90" customFormat="false" ht="15" hidden="false" customHeight="false" outlineLevel="0" collapsed="false">
      <c r="A90" s="10" t="s">
        <v>861</v>
      </c>
      <c r="B90" s="10" t="s">
        <v>950</v>
      </c>
      <c r="C90" s="10" t="s">
        <v>953</v>
      </c>
      <c r="D90" s="10" t="s">
        <v>864</v>
      </c>
    </row>
    <row r="91" customFormat="false" ht="15" hidden="false" customHeight="false" outlineLevel="0" collapsed="false">
      <c r="A91" s="10" t="s">
        <v>861</v>
      </c>
      <c r="B91" s="10" t="s">
        <v>950</v>
      </c>
      <c r="C91" s="10" t="s">
        <v>954</v>
      </c>
      <c r="D91" s="10" t="s">
        <v>864</v>
      </c>
    </row>
    <row r="92" customFormat="false" ht="15" hidden="false" customHeight="false" outlineLevel="0" collapsed="false">
      <c r="A92" s="10" t="s">
        <v>861</v>
      </c>
      <c r="B92" s="10" t="s">
        <v>955</v>
      </c>
      <c r="C92" s="10" t="s">
        <v>956</v>
      </c>
      <c r="D92" s="10" t="s">
        <v>864</v>
      </c>
    </row>
    <row r="93" customFormat="false" ht="15" hidden="false" customHeight="false" outlineLevel="0" collapsed="false">
      <c r="A93" s="10" t="s">
        <v>861</v>
      </c>
      <c r="B93" s="10" t="s">
        <v>955</v>
      </c>
      <c r="C93" s="10" t="s">
        <v>957</v>
      </c>
      <c r="D93" s="10" t="s">
        <v>864</v>
      </c>
    </row>
    <row r="94" customFormat="false" ht="15" hidden="false" customHeight="false" outlineLevel="0" collapsed="false">
      <c r="A94" s="10" t="s">
        <v>861</v>
      </c>
      <c r="B94" s="10" t="s">
        <v>955</v>
      </c>
      <c r="C94" s="10" t="s">
        <v>958</v>
      </c>
      <c r="D94" s="10" t="s">
        <v>864</v>
      </c>
    </row>
    <row r="95" customFormat="false" ht="15" hidden="false" customHeight="false" outlineLevel="0" collapsed="false">
      <c r="A95" s="10" t="s">
        <v>861</v>
      </c>
      <c r="B95" s="10" t="s">
        <v>955</v>
      </c>
      <c r="C95" s="10" t="s">
        <v>959</v>
      </c>
      <c r="D95" s="10" t="s">
        <v>864</v>
      </c>
    </row>
    <row r="96" customFormat="false" ht="15" hidden="false" customHeight="false" outlineLevel="0" collapsed="false">
      <c r="A96" s="10" t="s">
        <v>861</v>
      </c>
      <c r="B96" s="10" t="s">
        <v>955</v>
      </c>
      <c r="C96" s="10" t="s">
        <v>960</v>
      </c>
      <c r="D96" s="10" t="s">
        <v>864</v>
      </c>
    </row>
    <row r="97" customFormat="false" ht="15" hidden="false" customHeight="false" outlineLevel="0" collapsed="false">
      <c r="A97" s="10" t="s">
        <v>861</v>
      </c>
      <c r="B97" s="10" t="s">
        <v>955</v>
      </c>
      <c r="C97" s="10" t="s">
        <v>961</v>
      </c>
      <c r="D97" s="10" t="s">
        <v>864</v>
      </c>
    </row>
    <row r="98" customFormat="false" ht="15" hidden="false" customHeight="false" outlineLevel="0" collapsed="false">
      <c r="A98" s="10" t="s">
        <v>861</v>
      </c>
      <c r="B98" s="10" t="s">
        <v>955</v>
      </c>
      <c r="C98" s="10" t="s">
        <v>962</v>
      </c>
      <c r="D98" s="10" t="s">
        <v>864</v>
      </c>
    </row>
    <row r="99" customFormat="false" ht="15" hidden="false" customHeight="false" outlineLevel="0" collapsed="false">
      <c r="A99" s="10" t="s">
        <v>861</v>
      </c>
      <c r="B99" s="10" t="s">
        <v>955</v>
      </c>
      <c r="C99" s="10" t="s">
        <v>963</v>
      </c>
      <c r="D99" s="10" t="s">
        <v>864</v>
      </c>
    </row>
    <row r="100" customFormat="false" ht="15" hidden="false" customHeight="false" outlineLevel="0" collapsed="false">
      <c r="A100" s="10" t="s">
        <v>861</v>
      </c>
      <c r="B100" s="10" t="s">
        <v>955</v>
      </c>
      <c r="C100" s="10" t="s">
        <v>964</v>
      </c>
      <c r="D100" s="10" t="s">
        <v>864</v>
      </c>
    </row>
    <row r="101" customFormat="false" ht="15" hidden="false" customHeight="false" outlineLevel="0" collapsed="false">
      <c r="A101" s="10" t="s">
        <v>861</v>
      </c>
      <c r="B101" s="10" t="s">
        <v>955</v>
      </c>
      <c r="C101" s="10" t="s">
        <v>965</v>
      </c>
      <c r="D101" s="10" t="s">
        <v>864</v>
      </c>
    </row>
    <row r="102" customFormat="false" ht="15" hidden="false" customHeight="false" outlineLevel="0" collapsed="false">
      <c r="A102" s="10" t="s">
        <v>861</v>
      </c>
      <c r="B102" s="10" t="s">
        <v>955</v>
      </c>
      <c r="C102" s="10" t="s">
        <v>966</v>
      </c>
      <c r="D102" s="10" t="s">
        <v>864</v>
      </c>
    </row>
    <row r="103" customFormat="false" ht="15" hidden="false" customHeight="false" outlineLevel="0" collapsed="false">
      <c r="A103" s="10" t="s">
        <v>861</v>
      </c>
      <c r="B103" s="10" t="s">
        <v>955</v>
      </c>
      <c r="C103" s="10" t="s">
        <v>967</v>
      </c>
      <c r="D103" s="10" t="s">
        <v>864</v>
      </c>
    </row>
    <row r="104" customFormat="false" ht="15" hidden="false" customHeight="false" outlineLevel="0" collapsed="false">
      <c r="A104" s="10" t="s">
        <v>861</v>
      </c>
      <c r="B104" s="10" t="s">
        <v>955</v>
      </c>
      <c r="C104" s="10" t="s">
        <v>968</v>
      </c>
      <c r="D104" s="10" t="s">
        <v>864</v>
      </c>
    </row>
    <row r="105" customFormat="false" ht="15" hidden="false" customHeight="false" outlineLevel="0" collapsed="false">
      <c r="A105" s="10" t="s">
        <v>861</v>
      </c>
      <c r="B105" s="10" t="s">
        <v>955</v>
      </c>
      <c r="C105" s="10" t="s">
        <v>969</v>
      </c>
      <c r="D105" s="10" t="s">
        <v>864</v>
      </c>
    </row>
    <row r="106" customFormat="false" ht="15" hidden="false" customHeight="false" outlineLevel="0" collapsed="false">
      <c r="A106" s="10" t="s">
        <v>861</v>
      </c>
      <c r="B106" s="10" t="s">
        <v>955</v>
      </c>
      <c r="C106" s="10" t="s">
        <v>970</v>
      </c>
      <c r="D106" s="10" t="s">
        <v>864</v>
      </c>
    </row>
    <row r="107" customFormat="false" ht="15" hidden="false" customHeight="false" outlineLevel="0" collapsed="false">
      <c r="A107" s="10" t="s">
        <v>861</v>
      </c>
      <c r="B107" s="10" t="s">
        <v>955</v>
      </c>
      <c r="C107" s="10" t="s">
        <v>971</v>
      </c>
      <c r="D107" s="10" t="s">
        <v>864</v>
      </c>
    </row>
    <row r="108" customFormat="false" ht="15" hidden="false" customHeight="false" outlineLevel="0" collapsed="false">
      <c r="A108" s="10" t="s">
        <v>861</v>
      </c>
      <c r="B108" s="10" t="s">
        <v>955</v>
      </c>
      <c r="C108" s="10" t="s">
        <v>972</v>
      </c>
      <c r="D108" s="10" t="s">
        <v>864</v>
      </c>
    </row>
    <row r="109" customFormat="false" ht="15" hidden="false" customHeight="false" outlineLevel="0" collapsed="false">
      <c r="A109" s="10" t="s">
        <v>861</v>
      </c>
      <c r="B109" s="10" t="s">
        <v>955</v>
      </c>
      <c r="C109" s="10" t="s">
        <v>973</v>
      </c>
      <c r="D109" s="10" t="s">
        <v>864</v>
      </c>
    </row>
    <row r="110" customFormat="false" ht="15" hidden="false" customHeight="false" outlineLevel="0" collapsed="false">
      <c r="A110" s="10" t="s">
        <v>861</v>
      </c>
      <c r="B110" s="10" t="s">
        <v>974</v>
      </c>
      <c r="C110" s="10" t="s">
        <v>975</v>
      </c>
      <c r="D110" s="10" t="s">
        <v>864</v>
      </c>
    </row>
    <row r="111" customFormat="false" ht="15" hidden="false" customHeight="false" outlineLevel="0" collapsed="false">
      <c r="A111" s="10" t="s">
        <v>861</v>
      </c>
      <c r="B111" s="10" t="s">
        <v>974</v>
      </c>
      <c r="C111" s="10" t="s">
        <v>976</v>
      </c>
      <c r="D111" s="10" t="s">
        <v>864</v>
      </c>
    </row>
    <row r="112" customFormat="false" ht="15" hidden="false" customHeight="false" outlineLevel="0" collapsed="false">
      <c r="A112" s="10" t="s">
        <v>861</v>
      </c>
      <c r="B112" s="10" t="s">
        <v>974</v>
      </c>
      <c r="C112" s="10" t="s">
        <v>977</v>
      </c>
      <c r="D112" s="10" t="s">
        <v>864</v>
      </c>
    </row>
    <row r="113" customFormat="false" ht="15" hidden="false" customHeight="false" outlineLevel="0" collapsed="false">
      <c r="A113" s="10" t="s">
        <v>861</v>
      </c>
      <c r="B113" s="10" t="s">
        <v>974</v>
      </c>
      <c r="C113" s="10" t="s">
        <v>978</v>
      </c>
      <c r="D113" s="10" t="s">
        <v>864</v>
      </c>
    </row>
    <row r="114" customFormat="false" ht="15" hidden="false" customHeight="false" outlineLevel="0" collapsed="false">
      <c r="A114" s="10" t="s">
        <v>861</v>
      </c>
      <c r="B114" s="10" t="s">
        <v>974</v>
      </c>
      <c r="C114" s="10" t="s">
        <v>979</v>
      </c>
      <c r="D114" s="10" t="s">
        <v>177</v>
      </c>
    </row>
    <row r="115" customFormat="false" ht="15" hidden="false" customHeight="false" outlineLevel="0" collapsed="false">
      <c r="A115" s="10" t="s">
        <v>861</v>
      </c>
      <c r="B115" s="10" t="s">
        <v>974</v>
      </c>
      <c r="C115" s="10" t="s">
        <v>980</v>
      </c>
      <c r="D115" s="10" t="s">
        <v>864</v>
      </c>
    </row>
    <row r="116" customFormat="false" ht="15" hidden="false" customHeight="false" outlineLevel="0" collapsed="false">
      <c r="A116" s="10" t="s">
        <v>861</v>
      </c>
      <c r="B116" s="10" t="s">
        <v>974</v>
      </c>
      <c r="C116" s="10" t="s">
        <v>981</v>
      </c>
      <c r="D116" s="10" t="s">
        <v>864</v>
      </c>
    </row>
    <row r="117" customFormat="false" ht="15" hidden="false" customHeight="false" outlineLevel="0" collapsed="false">
      <c r="A117" s="10" t="s">
        <v>861</v>
      </c>
      <c r="B117" s="10" t="s">
        <v>974</v>
      </c>
      <c r="C117" s="10" t="s">
        <v>982</v>
      </c>
      <c r="D117" s="10" t="s">
        <v>864</v>
      </c>
    </row>
    <row r="118" customFormat="false" ht="15" hidden="false" customHeight="false" outlineLevel="0" collapsed="false">
      <c r="A118" s="10" t="s">
        <v>861</v>
      </c>
      <c r="B118" s="10" t="s">
        <v>974</v>
      </c>
      <c r="C118" s="10" t="s">
        <v>983</v>
      </c>
      <c r="D118" s="10" t="s">
        <v>864</v>
      </c>
    </row>
    <row r="119" customFormat="false" ht="15" hidden="false" customHeight="false" outlineLevel="0" collapsed="false">
      <c r="A119" s="10" t="s">
        <v>861</v>
      </c>
      <c r="B119" s="10" t="s">
        <v>974</v>
      </c>
      <c r="C119" s="10" t="s">
        <v>984</v>
      </c>
      <c r="D119" s="10" t="s">
        <v>864</v>
      </c>
    </row>
    <row r="120" customFormat="false" ht="15" hidden="false" customHeight="false" outlineLevel="0" collapsed="false">
      <c r="A120" s="10" t="s">
        <v>861</v>
      </c>
      <c r="B120" s="10" t="s">
        <v>974</v>
      </c>
      <c r="C120" s="10" t="s">
        <v>985</v>
      </c>
      <c r="D120" s="10" t="s">
        <v>864</v>
      </c>
    </row>
    <row r="121" customFormat="false" ht="15" hidden="false" customHeight="false" outlineLevel="0" collapsed="false">
      <c r="A121" s="10" t="s">
        <v>861</v>
      </c>
      <c r="B121" s="10" t="s">
        <v>974</v>
      </c>
      <c r="C121" s="10" t="s">
        <v>986</v>
      </c>
      <c r="D121" s="10" t="s">
        <v>864</v>
      </c>
    </row>
    <row r="122" customFormat="false" ht="15" hidden="false" customHeight="false" outlineLevel="0" collapsed="false">
      <c r="A122" s="10" t="s">
        <v>861</v>
      </c>
      <c r="B122" s="10" t="s">
        <v>974</v>
      </c>
      <c r="C122" s="10" t="s">
        <v>987</v>
      </c>
      <c r="D122" s="10" t="s">
        <v>864</v>
      </c>
    </row>
    <row r="123" customFormat="false" ht="15" hidden="false" customHeight="false" outlineLevel="0" collapsed="false">
      <c r="A123" s="10" t="s">
        <v>861</v>
      </c>
      <c r="B123" s="10" t="s">
        <v>39</v>
      </c>
      <c r="C123" s="10" t="s">
        <v>988</v>
      </c>
      <c r="D123" s="10" t="s">
        <v>864</v>
      </c>
    </row>
    <row r="124" customFormat="false" ht="15" hidden="false" customHeight="false" outlineLevel="0" collapsed="false">
      <c r="A124" s="10" t="s">
        <v>861</v>
      </c>
      <c r="B124" s="10" t="s">
        <v>39</v>
      </c>
      <c r="C124" s="10" t="s">
        <v>989</v>
      </c>
      <c r="D124" s="10" t="s">
        <v>864</v>
      </c>
    </row>
    <row r="125" customFormat="false" ht="15" hidden="false" customHeight="false" outlineLevel="0" collapsed="false">
      <c r="A125" s="10" t="s">
        <v>861</v>
      </c>
      <c r="B125" s="10" t="s">
        <v>39</v>
      </c>
      <c r="C125" s="10" t="s">
        <v>990</v>
      </c>
      <c r="D125" s="10" t="s">
        <v>864</v>
      </c>
    </row>
    <row r="126" customFormat="false" ht="15" hidden="false" customHeight="false" outlineLevel="0" collapsed="false">
      <c r="A126" s="10" t="s">
        <v>861</v>
      </c>
      <c r="B126" s="10" t="s">
        <v>39</v>
      </c>
      <c r="C126" s="10" t="s">
        <v>991</v>
      </c>
      <c r="D126" s="10" t="s">
        <v>864</v>
      </c>
    </row>
    <row r="127" customFormat="false" ht="15" hidden="false" customHeight="false" outlineLevel="0" collapsed="false">
      <c r="A127" s="10" t="s">
        <v>861</v>
      </c>
      <c r="B127" s="10" t="s">
        <v>39</v>
      </c>
      <c r="C127" s="10" t="s">
        <v>992</v>
      </c>
      <c r="D127" s="10" t="s">
        <v>864</v>
      </c>
    </row>
    <row r="128" customFormat="false" ht="15" hidden="false" customHeight="false" outlineLevel="0" collapsed="false">
      <c r="A128" s="10" t="s">
        <v>861</v>
      </c>
      <c r="B128" s="10" t="s">
        <v>39</v>
      </c>
      <c r="C128" s="10" t="s">
        <v>993</v>
      </c>
      <c r="D128" s="10" t="s">
        <v>864</v>
      </c>
    </row>
    <row r="129" customFormat="false" ht="15" hidden="false" customHeight="false" outlineLevel="0" collapsed="false">
      <c r="A129" s="10" t="s">
        <v>861</v>
      </c>
      <c r="B129" s="10" t="s">
        <v>39</v>
      </c>
      <c r="C129" s="10" t="s">
        <v>994</v>
      </c>
      <c r="D129" s="10" t="s">
        <v>864</v>
      </c>
    </row>
    <row r="130" customFormat="false" ht="15" hidden="false" customHeight="false" outlineLevel="0" collapsed="false">
      <c r="A130" s="10" t="s">
        <v>861</v>
      </c>
      <c r="B130" s="10" t="s">
        <v>39</v>
      </c>
      <c r="C130" s="10" t="s">
        <v>995</v>
      </c>
      <c r="D130" s="10" t="s">
        <v>864</v>
      </c>
    </row>
    <row r="131" customFormat="false" ht="15" hidden="false" customHeight="false" outlineLevel="0" collapsed="false">
      <c r="A131" s="10" t="s">
        <v>861</v>
      </c>
      <c r="B131" s="10" t="s">
        <v>39</v>
      </c>
      <c r="C131" s="10" t="s">
        <v>996</v>
      </c>
      <c r="D131" s="10" t="s">
        <v>864</v>
      </c>
    </row>
    <row r="132" customFormat="false" ht="15" hidden="false" customHeight="false" outlineLevel="0" collapsed="false">
      <c r="A132" s="10" t="s">
        <v>861</v>
      </c>
      <c r="B132" s="10" t="s">
        <v>39</v>
      </c>
      <c r="C132" s="10" t="s">
        <v>997</v>
      </c>
      <c r="D132" s="10" t="s">
        <v>864</v>
      </c>
    </row>
    <row r="133" customFormat="false" ht="15" hidden="false" customHeight="false" outlineLevel="0" collapsed="false">
      <c r="A133" s="10" t="s">
        <v>861</v>
      </c>
      <c r="B133" s="10" t="s">
        <v>39</v>
      </c>
      <c r="C133" s="10" t="s">
        <v>998</v>
      </c>
      <c r="D133" s="10" t="s">
        <v>864</v>
      </c>
    </row>
    <row r="134" customFormat="false" ht="15" hidden="false" customHeight="false" outlineLevel="0" collapsed="false">
      <c r="A134" s="10" t="s">
        <v>861</v>
      </c>
      <c r="B134" s="10" t="s">
        <v>39</v>
      </c>
      <c r="C134" s="10" t="s">
        <v>999</v>
      </c>
      <c r="D134" s="10" t="s">
        <v>864</v>
      </c>
    </row>
    <row r="135" customFormat="false" ht="15" hidden="false" customHeight="false" outlineLevel="0" collapsed="false">
      <c r="A135" s="10" t="s">
        <v>861</v>
      </c>
      <c r="B135" s="10" t="s">
        <v>39</v>
      </c>
      <c r="C135" s="10" t="s">
        <v>1000</v>
      </c>
      <c r="D135" s="10" t="s">
        <v>864</v>
      </c>
    </row>
    <row r="136" customFormat="false" ht="15" hidden="false" customHeight="false" outlineLevel="0" collapsed="false">
      <c r="A136" s="10" t="s">
        <v>861</v>
      </c>
      <c r="B136" s="10" t="s">
        <v>39</v>
      </c>
      <c r="C136" s="10" t="s">
        <v>1001</v>
      </c>
      <c r="D136" s="10" t="s">
        <v>177</v>
      </c>
    </row>
    <row r="137" customFormat="false" ht="15" hidden="false" customHeight="false" outlineLevel="0" collapsed="false">
      <c r="A137" s="29" t="s">
        <v>1002</v>
      </c>
      <c r="B137" s="29" t="s">
        <v>1003</v>
      </c>
      <c r="C137" s="29" t="s">
        <v>1004</v>
      </c>
      <c r="D137" s="29" t="s">
        <v>150</v>
      </c>
    </row>
    <row r="138" customFormat="false" ht="15" hidden="false" customHeight="false" outlineLevel="0" collapsed="false">
      <c r="A138" s="29" t="s">
        <v>1002</v>
      </c>
      <c r="B138" s="29" t="s">
        <v>1003</v>
      </c>
      <c r="C138" s="29" t="s">
        <v>1005</v>
      </c>
      <c r="D138" s="29" t="s">
        <v>150</v>
      </c>
    </row>
    <row r="139" customFormat="false" ht="15" hidden="false" customHeight="false" outlineLevel="0" collapsed="false">
      <c r="A139" s="29" t="s">
        <v>1002</v>
      </c>
      <c r="B139" s="29" t="s">
        <v>1003</v>
      </c>
      <c r="C139" s="29" t="s">
        <v>1006</v>
      </c>
      <c r="D139" s="29" t="s">
        <v>150</v>
      </c>
    </row>
    <row r="140" customFormat="false" ht="15" hidden="false" customHeight="false" outlineLevel="0" collapsed="false">
      <c r="A140" s="29" t="s">
        <v>1002</v>
      </c>
      <c r="B140" s="29" t="s">
        <v>1003</v>
      </c>
      <c r="C140" s="29" t="s">
        <v>1007</v>
      </c>
      <c r="D140" s="29" t="s">
        <v>150</v>
      </c>
    </row>
    <row r="141" customFormat="false" ht="15" hidden="false" customHeight="false" outlineLevel="0" collapsed="false">
      <c r="A141" s="29" t="s">
        <v>1002</v>
      </c>
      <c r="B141" s="29" t="s">
        <v>1003</v>
      </c>
      <c r="C141" s="29" t="s">
        <v>1008</v>
      </c>
      <c r="D141" s="29" t="s">
        <v>150</v>
      </c>
    </row>
    <row r="142" customFormat="false" ht="15" hidden="false" customHeight="false" outlineLevel="0" collapsed="false">
      <c r="A142" s="29" t="s">
        <v>1002</v>
      </c>
      <c r="B142" s="29" t="s">
        <v>1003</v>
      </c>
      <c r="C142" s="29" t="s">
        <v>1009</v>
      </c>
      <c r="D142" s="29" t="s">
        <v>150</v>
      </c>
    </row>
    <row r="143" customFormat="false" ht="15" hidden="false" customHeight="false" outlineLevel="0" collapsed="false">
      <c r="A143" s="29" t="s">
        <v>1002</v>
      </c>
      <c r="B143" s="29" t="s">
        <v>1003</v>
      </c>
      <c r="C143" s="29" t="s">
        <v>121</v>
      </c>
      <c r="D143" s="29" t="s">
        <v>150</v>
      </c>
    </row>
    <row r="144" customFormat="false" ht="15" hidden="false" customHeight="false" outlineLevel="0" collapsed="false">
      <c r="A144" s="29" t="s">
        <v>1002</v>
      </c>
      <c r="B144" s="29" t="s">
        <v>1003</v>
      </c>
      <c r="C144" s="29" t="s">
        <v>1010</v>
      </c>
      <c r="D144" s="29" t="s">
        <v>150</v>
      </c>
    </row>
    <row r="145" customFormat="false" ht="15" hidden="false" customHeight="false" outlineLevel="0" collapsed="false">
      <c r="A145" s="29" t="s">
        <v>1002</v>
      </c>
      <c r="B145" s="29" t="s">
        <v>1003</v>
      </c>
      <c r="C145" s="29" t="s">
        <v>128</v>
      </c>
      <c r="D145" s="29" t="s">
        <v>150</v>
      </c>
    </row>
    <row r="146" customFormat="false" ht="15" hidden="false" customHeight="false" outlineLevel="0" collapsed="false">
      <c r="A146" s="29" t="s">
        <v>1002</v>
      </c>
      <c r="B146" s="29" t="s">
        <v>1003</v>
      </c>
      <c r="C146" s="29" t="s">
        <v>1011</v>
      </c>
      <c r="D146" s="29" t="s">
        <v>150</v>
      </c>
    </row>
    <row r="147" customFormat="false" ht="15" hidden="false" customHeight="false" outlineLevel="0" collapsed="false">
      <c r="A147" s="29" t="s">
        <v>1002</v>
      </c>
      <c r="B147" s="29" t="s">
        <v>1003</v>
      </c>
      <c r="C147" s="29" t="s">
        <v>1012</v>
      </c>
      <c r="D147" s="29" t="s">
        <v>150</v>
      </c>
    </row>
    <row r="148" customFormat="false" ht="15" hidden="false" customHeight="false" outlineLevel="0" collapsed="false">
      <c r="A148" s="29" t="s">
        <v>1002</v>
      </c>
      <c r="B148" s="29" t="s">
        <v>1003</v>
      </c>
      <c r="C148" s="29" t="s">
        <v>1009</v>
      </c>
      <c r="D148" s="29" t="s">
        <v>150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C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s>
  <sheetData>
    <row r="1" customFormat="false" ht="17.15" hidden="false" customHeight="false" outlineLevel="0" collapsed="false">
      <c r="A1" s="7" t="s">
        <v>1013</v>
      </c>
    </row>
    <row r="3" customFormat="false" ht="15" hidden="false" customHeight="false" outlineLevel="0" collapsed="false">
      <c r="A3" s="9" t="s">
        <v>1014</v>
      </c>
      <c r="B3" s="9" t="s">
        <v>233</v>
      </c>
      <c r="C3" s="9" t="s">
        <v>234</v>
      </c>
    </row>
    <row r="4" customFormat="false" ht="15" hidden="false" customHeight="false" outlineLevel="0" collapsed="false">
      <c r="A4" s="10" t="s">
        <v>1015</v>
      </c>
      <c r="B4" s="10" t="s">
        <v>1016</v>
      </c>
      <c r="C4" s="10"/>
    </row>
    <row r="5" customFormat="false" ht="15" hidden="false" customHeight="false" outlineLevel="0" collapsed="false">
      <c r="A5" s="10" t="s">
        <v>1017</v>
      </c>
      <c r="B5" s="10" t="s">
        <v>1018</v>
      </c>
      <c r="C5" s="10" t="s">
        <v>1019</v>
      </c>
    </row>
    <row r="6" customFormat="false" ht="23.85" hidden="false" customHeight="false" outlineLevel="0" collapsed="false">
      <c r="A6" s="10" t="s">
        <v>1020</v>
      </c>
      <c r="B6" s="10" t="s">
        <v>1021</v>
      </c>
      <c r="C6" s="10" t="s">
        <v>1022</v>
      </c>
    </row>
    <row r="7" customFormat="false" ht="23.85" hidden="false" customHeight="false" outlineLevel="0" collapsed="false">
      <c r="A7" s="10" t="s">
        <v>1023</v>
      </c>
      <c r="B7" s="10" t="s">
        <v>1024</v>
      </c>
      <c r="C7" s="10" t="s">
        <v>1025</v>
      </c>
    </row>
    <row r="8" customFormat="false" ht="15" hidden="false" customHeight="false" outlineLevel="0" collapsed="false">
      <c r="A8" s="10" t="s">
        <v>1026</v>
      </c>
      <c r="B8" s="10" t="s">
        <v>1027</v>
      </c>
      <c r="C8" s="10" t="s">
        <v>1028</v>
      </c>
    </row>
    <row r="9" customFormat="false" ht="15" hidden="false" customHeight="false" outlineLevel="0" collapsed="false">
      <c r="A9" s="10" t="s">
        <v>1029</v>
      </c>
      <c r="B9" s="10" t="s">
        <v>1030</v>
      </c>
      <c r="C9" s="10" t="s">
        <v>1031</v>
      </c>
    </row>
    <row r="10" customFormat="false" ht="23.85" hidden="false" customHeight="false" outlineLevel="0" collapsed="false">
      <c r="A10" s="10" t="s">
        <v>235</v>
      </c>
      <c r="B10" s="10" t="s">
        <v>1032</v>
      </c>
      <c r="C10" s="10" t="s">
        <v>1033</v>
      </c>
    </row>
    <row r="11" customFormat="false" ht="15" hidden="false" customHeight="false" outlineLevel="0" collapsed="false">
      <c r="A11" s="10" t="s">
        <v>1034</v>
      </c>
      <c r="B11" s="10" t="s">
        <v>1035</v>
      </c>
      <c r="C11" s="10" t="s">
        <v>1036</v>
      </c>
    </row>
    <row r="12" customFormat="false" ht="15" hidden="false" customHeight="false" outlineLevel="0" collapsed="false">
      <c r="A12" s="10" t="s">
        <v>1037</v>
      </c>
      <c r="B12" s="10" t="s">
        <v>1038</v>
      </c>
      <c r="C12" s="10" t="s">
        <v>1039</v>
      </c>
    </row>
    <row r="13" customFormat="false" ht="15" hidden="false" customHeight="false" outlineLevel="0" collapsed="false">
      <c r="A13" s="10" t="s">
        <v>1040</v>
      </c>
      <c r="B13" s="10" t="s">
        <v>1041</v>
      </c>
      <c r="C13" s="10" t="s">
        <v>1042</v>
      </c>
    </row>
    <row r="14" customFormat="false" ht="15" hidden="false" customHeight="false" outlineLevel="0" collapsed="false">
      <c r="A14" s="10" t="s">
        <v>1043</v>
      </c>
      <c r="B14" s="10" t="s">
        <v>1044</v>
      </c>
      <c r="C14" s="10" t="s">
        <v>1045</v>
      </c>
    </row>
    <row r="15" customFormat="false" ht="15" hidden="false" customHeight="false" outlineLevel="0" collapsed="false">
      <c r="A15" s="10" t="s">
        <v>1046</v>
      </c>
      <c r="B15" s="10" t="s">
        <v>1047</v>
      </c>
      <c r="C15" s="10"/>
    </row>
    <row r="16" customFormat="false" ht="15" hidden="false" customHeight="false" outlineLevel="0" collapsed="false">
      <c r="A16" s="10" t="s">
        <v>1048</v>
      </c>
      <c r="B16" s="10" t="s">
        <v>1049</v>
      </c>
      <c r="C16" s="10" t="s">
        <v>1050</v>
      </c>
    </row>
    <row r="17" customFormat="false" ht="15" hidden="false" customHeight="false" outlineLevel="0" collapsed="false">
      <c r="A17" s="10" t="s">
        <v>1051</v>
      </c>
      <c r="B17" s="10" t="s">
        <v>1049</v>
      </c>
      <c r="C17" s="10" t="s">
        <v>1052</v>
      </c>
    </row>
    <row r="18" customFormat="false" ht="15" hidden="false" customHeight="false" outlineLevel="0" collapsed="false">
      <c r="A18" s="10" t="s">
        <v>1053</v>
      </c>
      <c r="B18" s="10" t="s">
        <v>1054</v>
      </c>
      <c r="C18" s="10" t="s">
        <v>1055</v>
      </c>
    </row>
    <row r="19" customFormat="false" ht="23.85" hidden="false" customHeight="false" outlineLevel="0" collapsed="false">
      <c r="A19" s="10" t="s">
        <v>1056</v>
      </c>
      <c r="B19" s="10" t="s">
        <v>1057</v>
      </c>
      <c r="C19" s="10" t="s">
        <v>1058</v>
      </c>
    </row>
    <row r="20" customFormat="false" ht="35.05" hidden="false" customHeight="false" outlineLevel="0" collapsed="false">
      <c r="A20" s="10" t="s">
        <v>1059</v>
      </c>
      <c r="B20" s="10" t="s">
        <v>1060</v>
      </c>
      <c r="C20" s="10" t="s">
        <v>1061</v>
      </c>
    </row>
    <row r="21" customFormat="false" ht="15" hidden="false" customHeight="false" outlineLevel="0" collapsed="false">
      <c r="A21" s="10" t="s">
        <v>1062</v>
      </c>
      <c r="B21" s="10" t="s">
        <v>1063</v>
      </c>
      <c r="C21" s="10" t="s">
        <v>1064</v>
      </c>
    </row>
    <row r="22" customFormat="false" ht="15" hidden="false" customHeight="false" outlineLevel="0" collapsed="false">
      <c r="A22" s="10" t="s">
        <v>1065</v>
      </c>
      <c r="B22" s="10" t="s">
        <v>1066</v>
      </c>
      <c r="C22" s="10" t="s">
        <v>1067</v>
      </c>
    </row>
    <row r="23" customFormat="false" ht="15" hidden="false" customHeight="false" outlineLevel="0" collapsed="false">
      <c r="A23" s="10" t="s">
        <v>1068</v>
      </c>
      <c r="B23" s="10" t="s">
        <v>1069</v>
      </c>
      <c r="C23" s="10" t="s">
        <v>1070</v>
      </c>
    </row>
    <row r="24" customFormat="false" ht="23.85" hidden="false" customHeight="false" outlineLevel="0" collapsed="false">
      <c r="A24" s="10" t="s">
        <v>1071</v>
      </c>
      <c r="B24" s="10" t="s">
        <v>1072</v>
      </c>
      <c r="C24" s="10" t="s">
        <v>1073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E6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6"/>
    <col collapsed="false" customWidth="true" hidden="false" outlineLevel="0" max="4" min="4" style="0" width="12"/>
    <col collapsed="false" customWidth="true" hidden="false" outlineLevel="0" max="5" min="5" style="0" width="50"/>
  </cols>
  <sheetData>
    <row r="1" customFormat="false" ht="17.15" hidden="false" customHeight="false" outlineLevel="0" collapsed="false">
      <c r="A1" s="7" t="s">
        <v>1074</v>
      </c>
    </row>
    <row r="2" customFormat="false" ht="45" hidden="false" customHeight="true" outlineLevel="0" collapsed="false">
      <c r="A2" s="8" t="s">
        <v>1075</v>
      </c>
      <c r="B2" s="8"/>
      <c r="C2" s="8"/>
      <c r="D2" s="8"/>
      <c r="E2" s="8"/>
    </row>
    <row r="4" customFormat="false" ht="15" hidden="false" customHeight="false" outlineLevel="0" collapsed="false">
      <c r="A4" s="9" t="s">
        <v>216</v>
      </c>
      <c r="B4" s="9" t="s">
        <v>1076</v>
      </c>
      <c r="C4" s="9" t="s">
        <v>1077</v>
      </c>
      <c r="D4" s="9" t="s">
        <v>218</v>
      </c>
      <c r="E4" s="9" t="s">
        <v>234</v>
      </c>
    </row>
    <row r="5" customFormat="false" ht="15" hidden="false" customHeight="false" outlineLevel="0" collapsed="false">
      <c r="A5" s="10" t="s">
        <v>1078</v>
      </c>
      <c r="B5" s="10" t="s">
        <v>52</v>
      </c>
      <c r="C5" s="10" t="s">
        <v>175</v>
      </c>
      <c r="D5" s="10" t="s">
        <v>1079</v>
      </c>
      <c r="E5" s="10" t="s">
        <v>1080</v>
      </c>
    </row>
    <row r="6" customFormat="false" ht="15" hidden="false" customHeight="false" outlineLevel="0" collapsed="false">
      <c r="A6" s="10" t="s">
        <v>1078</v>
      </c>
      <c r="B6" s="10" t="s">
        <v>43</v>
      </c>
      <c r="C6" s="10" t="s">
        <v>175</v>
      </c>
      <c r="D6" s="10" t="s">
        <v>1079</v>
      </c>
      <c r="E6" s="10" t="s">
        <v>1080</v>
      </c>
    </row>
    <row r="7" customFormat="false" ht="15" hidden="false" customHeight="false" outlineLevel="0" collapsed="false">
      <c r="A7" s="10" t="s">
        <v>1078</v>
      </c>
      <c r="B7" s="10" t="s">
        <v>49</v>
      </c>
      <c r="C7" s="10" t="s">
        <v>175</v>
      </c>
      <c r="D7" s="10" t="s">
        <v>1079</v>
      </c>
      <c r="E7" s="10" t="s">
        <v>1080</v>
      </c>
    </row>
    <row r="8" customFormat="false" ht="15" hidden="false" customHeight="false" outlineLevel="0" collapsed="false">
      <c r="A8" s="10" t="s">
        <v>1078</v>
      </c>
      <c r="B8" s="10" t="s">
        <v>149</v>
      </c>
      <c r="C8" s="10" t="s">
        <v>175</v>
      </c>
      <c r="D8" s="10" t="s">
        <v>1079</v>
      </c>
      <c r="E8" s="10" t="s">
        <v>1080</v>
      </c>
    </row>
    <row r="9" customFormat="false" ht="15" hidden="false" customHeight="false" outlineLevel="0" collapsed="false">
      <c r="A9" s="10" t="s">
        <v>1078</v>
      </c>
      <c r="B9" s="10" t="s">
        <v>73</v>
      </c>
      <c r="C9" s="10" t="s">
        <v>175</v>
      </c>
      <c r="D9" s="10" t="s">
        <v>1079</v>
      </c>
      <c r="E9" s="10" t="s">
        <v>1080</v>
      </c>
    </row>
    <row r="10" customFormat="false" ht="15" hidden="false" customHeight="false" outlineLevel="0" collapsed="false">
      <c r="A10" s="10" t="s">
        <v>1078</v>
      </c>
      <c r="B10" s="10" t="s">
        <v>89</v>
      </c>
      <c r="C10" s="10" t="s">
        <v>175</v>
      </c>
      <c r="D10" s="10" t="s">
        <v>1079</v>
      </c>
      <c r="E10" s="10" t="s">
        <v>1080</v>
      </c>
    </row>
    <row r="11" customFormat="false" ht="15" hidden="false" customHeight="false" outlineLevel="0" collapsed="false">
      <c r="A11" s="10" t="s">
        <v>1078</v>
      </c>
      <c r="B11" s="10" t="s">
        <v>61</v>
      </c>
      <c r="C11" s="10" t="s">
        <v>175</v>
      </c>
      <c r="D11" s="10" t="s">
        <v>1079</v>
      </c>
      <c r="E11" s="10" t="s">
        <v>1080</v>
      </c>
    </row>
    <row r="12" customFormat="false" ht="15" hidden="false" customHeight="false" outlineLevel="0" collapsed="false">
      <c r="A12" s="10" t="s">
        <v>1078</v>
      </c>
      <c r="B12" s="10" t="s">
        <v>120</v>
      </c>
      <c r="C12" s="10" t="s">
        <v>175</v>
      </c>
      <c r="D12" s="10" t="s">
        <v>1079</v>
      </c>
      <c r="E12" s="10" t="s">
        <v>1080</v>
      </c>
    </row>
    <row r="13" customFormat="false" ht="15" hidden="false" customHeight="false" outlineLevel="0" collapsed="false">
      <c r="A13" s="10" t="s">
        <v>1078</v>
      </c>
      <c r="B13" s="10" t="s">
        <v>97</v>
      </c>
      <c r="C13" s="10" t="s">
        <v>177</v>
      </c>
      <c r="D13" s="10" t="s">
        <v>1079</v>
      </c>
      <c r="E13" s="10"/>
    </row>
    <row r="14" customFormat="false" ht="15" hidden="false" customHeight="false" outlineLevel="0" collapsed="false">
      <c r="A14" s="10" t="s">
        <v>1078</v>
      </c>
      <c r="B14" s="10" t="s">
        <v>112</v>
      </c>
      <c r="C14" s="10" t="s">
        <v>177</v>
      </c>
      <c r="D14" s="10" t="s">
        <v>1079</v>
      </c>
      <c r="E14" s="10"/>
    </row>
    <row r="15" customFormat="false" ht="15" hidden="false" customHeight="false" outlineLevel="0" collapsed="false">
      <c r="A15" s="10" t="s">
        <v>1081</v>
      </c>
      <c r="B15" s="10" t="s">
        <v>75</v>
      </c>
      <c r="C15" s="10" t="s">
        <v>175</v>
      </c>
      <c r="D15" s="10" t="s">
        <v>1079</v>
      </c>
      <c r="E15" s="10" t="s">
        <v>1082</v>
      </c>
    </row>
    <row r="16" customFormat="false" ht="15" hidden="false" customHeight="false" outlineLevel="0" collapsed="false">
      <c r="A16" s="10" t="s">
        <v>1081</v>
      </c>
      <c r="B16" s="10" t="s">
        <v>71</v>
      </c>
      <c r="C16" s="10" t="s">
        <v>175</v>
      </c>
      <c r="D16" s="10" t="s">
        <v>1079</v>
      </c>
      <c r="E16" s="10" t="s">
        <v>1082</v>
      </c>
    </row>
    <row r="17" customFormat="false" ht="15" hidden="false" customHeight="false" outlineLevel="0" collapsed="false">
      <c r="A17" s="10" t="s">
        <v>1081</v>
      </c>
      <c r="B17" s="10" t="s">
        <v>79</v>
      </c>
      <c r="C17" s="10" t="s">
        <v>175</v>
      </c>
      <c r="D17" s="10" t="s">
        <v>1079</v>
      </c>
      <c r="E17" s="10" t="s">
        <v>1082</v>
      </c>
    </row>
    <row r="18" customFormat="false" ht="15" hidden="false" customHeight="false" outlineLevel="0" collapsed="false">
      <c r="A18" s="10" t="s">
        <v>1081</v>
      </c>
      <c r="B18" s="10" t="s">
        <v>119</v>
      </c>
      <c r="C18" s="10" t="s">
        <v>175</v>
      </c>
      <c r="D18" s="10" t="s">
        <v>1079</v>
      </c>
      <c r="E18" s="10" t="s">
        <v>1082</v>
      </c>
    </row>
    <row r="19" customFormat="false" ht="15" hidden="false" customHeight="false" outlineLevel="0" collapsed="false">
      <c r="A19" s="10" t="s">
        <v>1081</v>
      </c>
      <c r="B19" s="10" t="s">
        <v>74</v>
      </c>
      <c r="C19" s="10" t="s">
        <v>175</v>
      </c>
      <c r="D19" s="10" t="s">
        <v>1079</v>
      </c>
      <c r="E19" s="10" t="s">
        <v>1082</v>
      </c>
    </row>
    <row r="20" customFormat="false" ht="15" hidden="false" customHeight="false" outlineLevel="0" collapsed="false">
      <c r="A20" s="10" t="s">
        <v>1081</v>
      </c>
      <c r="B20" s="10" t="s">
        <v>82</v>
      </c>
      <c r="C20" s="10" t="s">
        <v>175</v>
      </c>
      <c r="D20" s="10" t="s">
        <v>1079</v>
      </c>
      <c r="E20" s="10" t="s">
        <v>1082</v>
      </c>
    </row>
    <row r="21" customFormat="false" ht="15" hidden="false" customHeight="false" outlineLevel="0" collapsed="false">
      <c r="A21" s="10" t="s">
        <v>1083</v>
      </c>
      <c r="B21" s="10" t="s">
        <v>126</v>
      </c>
      <c r="C21" s="10" t="s">
        <v>177</v>
      </c>
      <c r="D21" s="10" t="s">
        <v>1079</v>
      </c>
      <c r="E21" s="10" t="s">
        <v>1084</v>
      </c>
    </row>
    <row r="22" customFormat="false" ht="15" hidden="false" customHeight="false" outlineLevel="0" collapsed="false">
      <c r="A22" s="10" t="s">
        <v>1083</v>
      </c>
      <c r="B22" s="10" t="s">
        <v>99</v>
      </c>
      <c r="C22" s="10" t="s">
        <v>177</v>
      </c>
      <c r="D22" s="10" t="s">
        <v>1079</v>
      </c>
      <c r="E22" s="10" t="s">
        <v>1084</v>
      </c>
    </row>
    <row r="23" customFormat="false" ht="15" hidden="false" customHeight="false" outlineLevel="0" collapsed="false">
      <c r="A23" s="10" t="s">
        <v>1083</v>
      </c>
      <c r="B23" s="10" t="s">
        <v>95</v>
      </c>
      <c r="C23" s="10" t="s">
        <v>177</v>
      </c>
      <c r="D23" s="10" t="s">
        <v>1079</v>
      </c>
      <c r="E23" s="10" t="s">
        <v>1084</v>
      </c>
    </row>
    <row r="24" customFormat="false" ht="15" hidden="false" customHeight="false" outlineLevel="0" collapsed="false">
      <c r="A24" s="10" t="s">
        <v>1083</v>
      </c>
      <c r="B24" s="10" t="s">
        <v>127</v>
      </c>
      <c r="C24" s="10" t="s">
        <v>177</v>
      </c>
      <c r="D24" s="10" t="s">
        <v>1079</v>
      </c>
      <c r="E24" s="10" t="s">
        <v>1084</v>
      </c>
    </row>
    <row r="25" customFormat="false" ht="15" hidden="false" customHeight="false" outlineLevel="0" collapsed="false">
      <c r="A25" s="10" t="s">
        <v>1083</v>
      </c>
      <c r="B25" s="10" t="s">
        <v>100</v>
      </c>
      <c r="C25" s="10" t="s">
        <v>177</v>
      </c>
      <c r="D25" s="10" t="s">
        <v>1079</v>
      </c>
      <c r="E25" s="10" t="s">
        <v>1084</v>
      </c>
    </row>
    <row r="26" customFormat="false" ht="15" hidden="false" customHeight="false" outlineLevel="0" collapsed="false">
      <c r="A26" s="10" t="s">
        <v>1083</v>
      </c>
      <c r="B26" s="10" t="s">
        <v>96</v>
      </c>
      <c r="C26" s="10" t="s">
        <v>177</v>
      </c>
      <c r="D26" s="10" t="s">
        <v>1079</v>
      </c>
      <c r="E26" s="10" t="s">
        <v>1084</v>
      </c>
    </row>
    <row r="27" customFormat="false" ht="15" hidden="false" customHeight="false" outlineLevel="0" collapsed="false">
      <c r="A27" s="10" t="s">
        <v>1083</v>
      </c>
      <c r="B27" s="10" t="s">
        <v>1085</v>
      </c>
      <c r="C27" s="10" t="s">
        <v>177</v>
      </c>
      <c r="D27" s="10" t="s">
        <v>1079</v>
      </c>
      <c r="E27" s="10" t="s">
        <v>1084</v>
      </c>
    </row>
    <row r="28" customFormat="false" ht="15" hidden="false" customHeight="false" outlineLevel="0" collapsed="false">
      <c r="A28" s="10" t="s">
        <v>1083</v>
      </c>
      <c r="B28" s="10" t="s">
        <v>121</v>
      </c>
      <c r="C28" s="10" t="s">
        <v>177</v>
      </c>
      <c r="D28" s="10" t="s">
        <v>1079</v>
      </c>
      <c r="E28" s="10" t="s">
        <v>1084</v>
      </c>
    </row>
    <row r="29" customFormat="false" ht="15" hidden="false" customHeight="false" outlineLevel="0" collapsed="false">
      <c r="A29" s="10" t="s">
        <v>1083</v>
      </c>
      <c r="B29" s="10" t="s">
        <v>91</v>
      </c>
      <c r="C29" s="10" t="s">
        <v>177</v>
      </c>
      <c r="D29" s="10" t="s">
        <v>1079</v>
      </c>
      <c r="E29" s="10" t="s">
        <v>1084</v>
      </c>
    </row>
    <row r="30" customFormat="false" ht="15" hidden="false" customHeight="false" outlineLevel="0" collapsed="false">
      <c r="A30" s="10" t="s">
        <v>1083</v>
      </c>
      <c r="B30" s="10" t="s">
        <v>1086</v>
      </c>
      <c r="C30" s="10" t="s">
        <v>177</v>
      </c>
      <c r="D30" s="10" t="s">
        <v>1079</v>
      </c>
      <c r="E30" s="10" t="s">
        <v>1084</v>
      </c>
    </row>
    <row r="31" customFormat="false" ht="15" hidden="false" customHeight="false" outlineLevel="0" collapsed="false">
      <c r="A31" s="10" t="s">
        <v>1087</v>
      </c>
      <c r="B31" s="10" t="s">
        <v>50</v>
      </c>
      <c r="C31" s="10" t="s">
        <v>177</v>
      </c>
      <c r="D31" s="10" t="s">
        <v>1079</v>
      </c>
      <c r="E31" s="10" t="s">
        <v>1088</v>
      </c>
    </row>
    <row r="32" customFormat="false" ht="15" hidden="false" customHeight="false" outlineLevel="0" collapsed="false">
      <c r="A32" s="10" t="s">
        <v>1087</v>
      </c>
      <c r="B32" s="10" t="s">
        <v>63</v>
      </c>
      <c r="C32" s="10" t="s">
        <v>177</v>
      </c>
      <c r="D32" s="10" t="s">
        <v>1079</v>
      </c>
      <c r="E32" s="10" t="s">
        <v>1088</v>
      </c>
    </row>
    <row r="33" customFormat="false" ht="15" hidden="false" customHeight="false" outlineLevel="0" collapsed="false">
      <c r="A33" s="10" t="s">
        <v>1087</v>
      </c>
      <c r="B33" s="10" t="s">
        <v>54</v>
      </c>
      <c r="C33" s="10" t="s">
        <v>177</v>
      </c>
      <c r="D33" s="10" t="s">
        <v>1079</v>
      </c>
      <c r="E33" s="10" t="s">
        <v>1088</v>
      </c>
    </row>
    <row r="34" customFormat="false" ht="15" hidden="false" customHeight="false" outlineLevel="0" collapsed="false">
      <c r="A34" s="10" t="s">
        <v>1087</v>
      </c>
      <c r="B34" s="10" t="s">
        <v>132</v>
      </c>
      <c r="C34" s="10" t="s">
        <v>177</v>
      </c>
      <c r="D34" s="10" t="s">
        <v>1079</v>
      </c>
      <c r="E34" s="10" t="s">
        <v>1088</v>
      </c>
    </row>
    <row r="35" customFormat="false" ht="15" hidden="false" customHeight="false" outlineLevel="0" collapsed="false">
      <c r="A35" s="10" t="s">
        <v>1087</v>
      </c>
      <c r="B35" s="10" t="s">
        <v>1089</v>
      </c>
      <c r="C35" s="10" t="s">
        <v>177</v>
      </c>
      <c r="D35" s="10" t="s">
        <v>1079</v>
      </c>
      <c r="E35" s="10" t="s">
        <v>1088</v>
      </c>
    </row>
    <row r="36" customFormat="false" ht="15" hidden="false" customHeight="false" outlineLevel="0" collapsed="false">
      <c r="A36" s="10" t="s">
        <v>1087</v>
      </c>
      <c r="B36" s="10" t="s">
        <v>83</v>
      </c>
      <c r="C36" s="10" t="s">
        <v>177</v>
      </c>
      <c r="D36" s="10" t="s">
        <v>1079</v>
      </c>
      <c r="E36" s="10" t="s">
        <v>1088</v>
      </c>
    </row>
    <row r="37" customFormat="false" ht="15" hidden="false" customHeight="false" outlineLevel="0" collapsed="false">
      <c r="A37" s="10" t="s">
        <v>1090</v>
      </c>
      <c r="B37" s="10" t="s">
        <v>271</v>
      </c>
      <c r="C37" s="10" t="s">
        <v>177</v>
      </c>
      <c r="D37" s="10" t="s">
        <v>1079</v>
      </c>
      <c r="E37" s="10" t="s">
        <v>1091</v>
      </c>
    </row>
    <row r="38" customFormat="false" ht="15" hidden="false" customHeight="false" outlineLevel="0" collapsed="false">
      <c r="A38" s="10" t="s">
        <v>1090</v>
      </c>
      <c r="B38" s="10" t="s">
        <v>1092</v>
      </c>
      <c r="C38" s="10" t="s">
        <v>177</v>
      </c>
      <c r="D38" s="10" t="s">
        <v>1079</v>
      </c>
      <c r="E38" s="10" t="s">
        <v>1091</v>
      </c>
    </row>
    <row r="39" customFormat="false" ht="15" hidden="false" customHeight="false" outlineLevel="0" collapsed="false">
      <c r="A39" s="10" t="s">
        <v>1090</v>
      </c>
      <c r="B39" s="10" t="s">
        <v>1093</v>
      </c>
      <c r="C39" s="10" t="s">
        <v>177</v>
      </c>
      <c r="D39" s="10" t="s">
        <v>1079</v>
      </c>
      <c r="E39" s="10" t="s">
        <v>1091</v>
      </c>
    </row>
    <row r="40" customFormat="false" ht="15" hidden="false" customHeight="false" outlineLevel="0" collapsed="false">
      <c r="A40" s="10" t="s">
        <v>1090</v>
      </c>
      <c r="B40" s="10" t="s">
        <v>267</v>
      </c>
      <c r="C40" s="10" t="s">
        <v>177</v>
      </c>
      <c r="D40" s="10" t="s">
        <v>1079</v>
      </c>
      <c r="E40" s="10" t="s">
        <v>1091</v>
      </c>
    </row>
    <row r="41" customFormat="false" ht="15" hidden="false" customHeight="false" outlineLevel="0" collapsed="false">
      <c r="A41" s="10" t="s">
        <v>1090</v>
      </c>
      <c r="B41" s="10" t="s">
        <v>270</v>
      </c>
      <c r="C41" s="10" t="s">
        <v>177</v>
      </c>
      <c r="D41" s="10" t="s">
        <v>1079</v>
      </c>
      <c r="E41" s="10" t="s">
        <v>1091</v>
      </c>
    </row>
    <row r="42" customFormat="false" ht="15" hidden="false" customHeight="false" outlineLevel="0" collapsed="false">
      <c r="A42" s="10" t="s">
        <v>1094</v>
      </c>
      <c r="B42" s="10" t="s">
        <v>38</v>
      </c>
      <c r="C42" s="10" t="s">
        <v>175</v>
      </c>
      <c r="D42" s="10" t="s">
        <v>1079</v>
      </c>
      <c r="E42" s="10" t="s">
        <v>1095</v>
      </c>
    </row>
    <row r="43" customFormat="false" ht="15" hidden="false" customHeight="false" outlineLevel="0" collapsed="false">
      <c r="A43" s="10" t="s">
        <v>1094</v>
      </c>
      <c r="B43" s="10" t="s">
        <v>44</v>
      </c>
      <c r="C43" s="10" t="s">
        <v>175</v>
      </c>
      <c r="D43" s="10" t="s">
        <v>1079</v>
      </c>
      <c r="E43" s="10" t="s">
        <v>1095</v>
      </c>
    </row>
    <row r="44" customFormat="false" ht="15" hidden="false" customHeight="false" outlineLevel="0" collapsed="false">
      <c r="A44" s="10" t="s">
        <v>1094</v>
      </c>
      <c r="B44" s="10" t="s">
        <v>58</v>
      </c>
      <c r="C44" s="10" t="s">
        <v>175</v>
      </c>
      <c r="D44" s="10" t="s">
        <v>1079</v>
      </c>
      <c r="E44" s="10" t="s">
        <v>1095</v>
      </c>
    </row>
    <row r="45" customFormat="false" ht="15" hidden="false" customHeight="false" outlineLevel="0" collapsed="false">
      <c r="A45" s="10" t="s">
        <v>1094</v>
      </c>
      <c r="B45" s="10" t="s">
        <v>66</v>
      </c>
      <c r="C45" s="10" t="s">
        <v>175</v>
      </c>
      <c r="D45" s="10" t="s">
        <v>1079</v>
      </c>
      <c r="E45" s="10" t="s">
        <v>1095</v>
      </c>
    </row>
    <row r="46" customFormat="false" ht="15" hidden="false" customHeight="false" outlineLevel="0" collapsed="false">
      <c r="A46" s="10" t="s">
        <v>1094</v>
      </c>
      <c r="B46" s="10" t="s">
        <v>70</v>
      </c>
      <c r="C46" s="10" t="s">
        <v>175</v>
      </c>
      <c r="D46" s="10" t="s">
        <v>1079</v>
      </c>
      <c r="E46" s="10" t="s">
        <v>1095</v>
      </c>
    </row>
    <row r="47" customFormat="false" ht="15" hidden="false" customHeight="false" outlineLevel="0" collapsed="false">
      <c r="A47" s="10" t="s">
        <v>1094</v>
      </c>
      <c r="B47" s="10" t="s">
        <v>1096</v>
      </c>
      <c r="C47" s="10" t="s">
        <v>175</v>
      </c>
      <c r="D47" s="10" t="s">
        <v>1079</v>
      </c>
      <c r="E47" s="10" t="s">
        <v>1095</v>
      </c>
    </row>
    <row r="48" customFormat="false" ht="15" hidden="false" customHeight="false" outlineLevel="0" collapsed="false">
      <c r="A48" s="10" t="s">
        <v>1094</v>
      </c>
      <c r="B48" s="10" t="s">
        <v>1097</v>
      </c>
      <c r="C48" s="10" t="s">
        <v>175</v>
      </c>
      <c r="D48" s="10" t="s">
        <v>1079</v>
      </c>
      <c r="E48" s="10" t="s">
        <v>1095</v>
      </c>
    </row>
    <row r="49" customFormat="false" ht="15" hidden="false" customHeight="false" outlineLevel="0" collapsed="false">
      <c r="A49" s="10" t="s">
        <v>1098</v>
      </c>
      <c r="B49" s="10" t="s">
        <v>92</v>
      </c>
      <c r="C49" s="10" t="s">
        <v>188</v>
      </c>
      <c r="D49" s="10" t="s">
        <v>1079</v>
      </c>
      <c r="E49" s="10" t="s">
        <v>1099</v>
      </c>
    </row>
    <row r="50" customFormat="false" ht="15" hidden="false" customHeight="false" outlineLevel="0" collapsed="false">
      <c r="A50" s="10" t="s">
        <v>1098</v>
      </c>
      <c r="B50" s="10" t="s">
        <v>147</v>
      </c>
      <c r="C50" s="10" t="s">
        <v>188</v>
      </c>
      <c r="D50" s="10" t="s">
        <v>1079</v>
      </c>
      <c r="E50" s="10" t="s">
        <v>1099</v>
      </c>
    </row>
    <row r="51" customFormat="false" ht="15" hidden="false" customHeight="false" outlineLevel="0" collapsed="false">
      <c r="A51" s="10" t="s">
        <v>1098</v>
      </c>
      <c r="B51" s="10" t="s">
        <v>94</v>
      </c>
      <c r="C51" s="10" t="s">
        <v>188</v>
      </c>
      <c r="D51" s="10" t="s">
        <v>1079</v>
      </c>
      <c r="E51" s="10" t="s">
        <v>1099</v>
      </c>
    </row>
    <row r="52" customFormat="false" ht="15" hidden="false" customHeight="false" outlineLevel="0" collapsed="false">
      <c r="A52" s="10" t="s">
        <v>1098</v>
      </c>
      <c r="B52" s="10" t="s">
        <v>1100</v>
      </c>
      <c r="C52" s="10" t="s">
        <v>188</v>
      </c>
      <c r="D52" s="10" t="s">
        <v>1079</v>
      </c>
      <c r="E52" s="10" t="s">
        <v>1099</v>
      </c>
    </row>
    <row r="53" customFormat="false" ht="15" hidden="false" customHeight="false" outlineLevel="0" collapsed="false">
      <c r="A53" s="26" t="s">
        <v>1101</v>
      </c>
      <c r="B53" s="26" t="s">
        <v>101</v>
      </c>
      <c r="C53" s="26" t="s">
        <v>177</v>
      </c>
      <c r="D53" s="26" t="s">
        <v>210</v>
      </c>
      <c r="E53" s="26" t="s">
        <v>1102</v>
      </c>
    </row>
    <row r="54" customFormat="false" ht="15" hidden="false" customHeight="false" outlineLevel="0" collapsed="false">
      <c r="A54" s="26" t="s">
        <v>1101</v>
      </c>
      <c r="B54" s="26" t="s">
        <v>123</v>
      </c>
      <c r="C54" s="26" t="s">
        <v>177</v>
      </c>
      <c r="D54" s="26" t="s">
        <v>210</v>
      </c>
      <c r="E54" s="26" t="s">
        <v>1102</v>
      </c>
    </row>
    <row r="55" customFormat="false" ht="15" hidden="false" customHeight="false" outlineLevel="0" collapsed="false">
      <c r="A55" s="26" t="s">
        <v>1101</v>
      </c>
      <c r="B55" s="26" t="s">
        <v>276</v>
      </c>
      <c r="C55" s="26" t="s">
        <v>177</v>
      </c>
      <c r="D55" s="26" t="s">
        <v>210</v>
      </c>
      <c r="E55" s="26" t="s">
        <v>1102</v>
      </c>
    </row>
    <row r="56" customFormat="false" ht="15" hidden="false" customHeight="false" outlineLevel="0" collapsed="false">
      <c r="A56" s="26" t="s">
        <v>1101</v>
      </c>
      <c r="B56" s="26" t="s">
        <v>275</v>
      </c>
      <c r="C56" s="26" t="s">
        <v>177</v>
      </c>
      <c r="D56" s="26" t="s">
        <v>210</v>
      </c>
      <c r="E56" s="26" t="s">
        <v>1102</v>
      </c>
    </row>
    <row r="57" customFormat="false" ht="15" hidden="false" customHeight="false" outlineLevel="0" collapsed="false">
      <c r="A57" s="26" t="s">
        <v>1103</v>
      </c>
      <c r="B57" s="26" t="s">
        <v>115</v>
      </c>
      <c r="C57" s="26" t="s">
        <v>177</v>
      </c>
      <c r="D57" s="26" t="s">
        <v>210</v>
      </c>
      <c r="E57" s="26" t="s">
        <v>1104</v>
      </c>
    </row>
    <row r="58" customFormat="false" ht="15" hidden="false" customHeight="false" outlineLevel="0" collapsed="false">
      <c r="A58" s="26" t="s">
        <v>1103</v>
      </c>
      <c r="B58" s="26" t="s">
        <v>1105</v>
      </c>
      <c r="C58" s="26" t="s">
        <v>177</v>
      </c>
      <c r="D58" s="26" t="s">
        <v>210</v>
      </c>
      <c r="E58" s="26" t="s">
        <v>1104</v>
      </c>
    </row>
    <row r="59" customFormat="false" ht="15" hidden="false" customHeight="false" outlineLevel="0" collapsed="false">
      <c r="A59" s="26" t="s">
        <v>1103</v>
      </c>
      <c r="B59" s="26" t="s">
        <v>1106</v>
      </c>
      <c r="C59" s="26" t="s">
        <v>177</v>
      </c>
      <c r="D59" s="26" t="s">
        <v>210</v>
      </c>
      <c r="E59" s="26" t="s">
        <v>1104</v>
      </c>
    </row>
    <row r="60" customFormat="false" ht="15" hidden="false" customHeight="false" outlineLevel="0" collapsed="false">
      <c r="A60" s="26" t="s">
        <v>1103</v>
      </c>
      <c r="B60" s="26" t="s">
        <v>107</v>
      </c>
      <c r="C60" s="26" t="s">
        <v>177</v>
      </c>
      <c r="D60" s="26" t="s">
        <v>210</v>
      </c>
      <c r="E60" s="26" t="s">
        <v>1104</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2026-10-19T14:50:56Z</dcterms:created>
  <dc:creator>openpyxl</dc:creator>
  <dc:description/>
  <dc:language>en-US</dc:language>
  <cp:lastModifiedBy/>
  <dcterms:modified xsi:type="dcterms:W3CDTF">2026-10-19T14:50:56Z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