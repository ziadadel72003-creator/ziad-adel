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اقرأني" sheetId="1" state="visible" r:id="rId3"/>
    <sheet name="أداء الكلمات" sheetId="2" state="visible" r:id="rId4"/>
    <sheet name="النصوص النهائية" sheetId="3" state="visible" r:id="rId5"/>
    <sheet name="هيكل الحملة النهائي" sheetId="4" state="visible" r:id="rId6"/>
    <sheet name="إعداد الخرائط" sheetId="5" state="visible" r:id="rId7"/>
    <sheet name="السلبيات" sheetId="6" state="visible" r:id="rId8"/>
    <sheet name="إعدادات الحملة" sheetId="7" state="visible" r:id="rId9"/>
  </sheets>
  <definedNames>
    <definedName function="false" hidden="true" localSheetId="1" name="_xlnm._FilterDatabase" vbProcedure="false">'أداء الكلمات'!$A$4:$K$30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<sst xmlns="http://schemas.openxmlformats.org/spreadsheetml/2006/main" count="1206" uniqueCount="511">
  <si>
    <t xml:space="preserve">ملف بناء حملة البحث – حضانة قرات الأعين</t>
  </si>
  <si>
    <t xml:space="preserve">الإصدار 3 النهائي (19 أكتوبر 2026): بيانات Keyword Planner + قرارات الإدارة (قسم رضع: نعم • فترة مسائية: لا • تسعير في الحملة: لا • المنافس: حضانة قرة). الأوراق الجديدة: «تحليل Keyword Planner»، «الهيكل المعدل v2»، «الكلمات v2»، «سلبيات إضافية v2»، «تعديلات النصوص v2»، «مجموعة المنافس».</t>
  </si>
  <si>
    <t xml:space="preserve">ملفات استيراد Google Ads Editor في مجلد 06_Editor_Import (النبرات الثلاث كإعلانات منفصلة في كل مجموعة). الأوراق الرمادية مرجع للإصدار الأول.</t>
  </si>
  <si>
    <t xml:space="preserve">الهدف: حملة Search تظهر في بحث Google وفي خرائط Google معاً، بديلاً تدريجياً لحملة Smart. مبنية على تقرير المراجعة بتاريخ 17 أكتوبر 2026.</t>
  </si>
  <si>
    <t xml:space="preserve">كيف تستخدم الملف:</t>
  </si>
  <si>
    <t xml:space="preserve">1) ورقة «إعدادات الحملة» و«إعداد الخرائط»: تُنفَّذ كما هي، وهي مشتركة بين النبرات الثلاث.</t>
  </si>
  <si>
    <t xml:space="preserve">2) ورقة «المجموعات والكلمات» و«السلبيات»: مشتركة أيضاً، تُرفع عبر Google Ads Editor أو يدوياً.</t>
  </si>
  <si>
    <t xml:space="preserve">3) أوراق «النبرة A» و«النبرة B» و«النبرة C»: ثلاث نسخ كاملة من نصوص الإعلانات والأصول. اختر واحدة، أو امزج (مثلاً A للمجموعات العامة وC للعلامة التجارية).</t>
  </si>
  <si>
    <t xml:space="preserve">4) ورقة «مقارنة النبرات»: نفس الموضع في الإعلان الرئيسي بالنسخ الثلاث جنباً إلى جنب لتسهيل الاختيار.</t>
  </si>
  <si>
    <t xml:space="preserve">5) ورقة «حقائق تحتاج تأكيداً»: كل جملة في النصوص تعتمد على معلومة من الإدارة. راجعها قبل التفعيل.</t>
  </si>
  <si>
    <t xml:space="preserve">قواعد الحروف المطبقة (تم التحقق آلياً): العنوان ≤ 30 حرفاً، الوصف ≤ 90، نص Sitelink ≤ 25 وسطرا وصفه ≤ 35، Callout ≤ 25، قيمة Snippet ≤ 25. عمود «الحروف» في كل ورقة صيغة حية تعيد الحساب إن عدّلت النص.</t>
  </si>
  <si>
    <t xml:space="preserve">العنوان 1 «حضانة قرات الأعين بالياسمين» مثبّت في الموضع 1 في كل المجموعات العربية (ما عدا المذكور). لا تثبّت أكثر من عنوان واحد حتى لا تنخفض قوة الإعلان.</t>
  </si>
  <si>
    <t xml:space="preserve">النصوص العربية بدون تشكيل عمداً، لأن علامات التشكيل تُحسب حروفاً.</t>
  </si>
  <si>
    <t xml:space="preserve">الخطوة التالية بعد اختيار النبرة: تجهيز ملف استيراد Google Ads Editor (CSV) بالنسخة المختارة فقط.</t>
  </si>
  <si>
    <t xml:space="preserve">أداء الكلمات المفتاحية – Keyword Planner، الرياض، 19 أكتوبر 2026</t>
  </si>
  <si>
    <t xml:space="preserve">26 كلمة مختارة (المظللة بالأخضر) مرتبة بحجم البحث. «حصة ظهور حسابنا الآن» = نسبة ظهور حملة Smart الحالية على هذه الكلمة.</t>
  </si>
  <si>
    <t xml:space="preserve">الكلمة</t>
  </si>
  <si>
    <t xml:space="preserve">المجموعة (كما رُفعت)</t>
  </si>
  <si>
    <t xml:space="preserve">البحث الشهري</t>
  </si>
  <si>
    <t xml:space="preserve">نقطة وسط</t>
  </si>
  <si>
    <t xml:space="preserve">تغير 3 أشهر</t>
  </si>
  <si>
    <t xml:space="preserve">تغير سنوي</t>
  </si>
  <si>
    <t xml:space="preserve">المنافسة</t>
  </si>
  <si>
    <t xml:space="preserve">حصة ظهور حسابنا الآن</t>
  </si>
  <si>
    <t xml:space="preserve">عرض أعلى الصفحة أدنى (ريال)</t>
  </si>
  <si>
    <t xml:space="preserve">عرض أعلى الصفحة أعلى (ريال)</t>
  </si>
  <si>
    <t xml:space="preserve">القرار النهائي</t>
  </si>
  <si>
    <t xml:space="preserve">nursery near me</t>
  </si>
  <si>
    <t xml:space="preserve">English</t>
  </si>
  <si>
    <t xml:space="preserve">1K – 10K</t>
  </si>
  <si>
    <t xml:space="preserve">0%</t>
  </si>
  <si>
    <t xml:space="preserve">Medium</t>
  </si>
  <si>
    <t xml:space="preserve">مختارة</t>
  </si>
  <si>
    <t xml:space="preserve">ضيافة اطفال</t>
  </si>
  <si>
    <t xml:space="preserve">حضانة – عام</t>
  </si>
  <si>
    <t xml:space="preserve">Low</t>
  </si>
  <si>
    <t xml:space="preserve">daycare near me</t>
  </si>
  <si>
    <t xml:space="preserve">رياض اطفال</t>
  </si>
  <si>
    <t xml:space="preserve">روضة / رياض أطفال</t>
  </si>
  <si>
    <t xml:space="preserve">حضانه قريبه مني</t>
  </si>
  <si>
    <t xml:space="preserve">قريب مني</t>
  </si>
  <si>
    <t xml:space="preserve">مركز ضيافة اطفال</t>
  </si>
  <si>
    <t xml:space="preserve">روضة اطفال</t>
  </si>
  <si>
    <t xml:space="preserve">حضانة اطفال</t>
  </si>
  <si>
    <t xml:space="preserve">+900%</t>
  </si>
  <si>
    <t xml:space="preserve">تسجيل روضة</t>
  </si>
  <si>
    <t xml:space="preserve">حضانة</t>
  </si>
  <si>
    <t xml:space="preserve">10K – 100K</t>
  </si>
  <si>
    <t xml:space="preserve">حضانة قرة</t>
  </si>
  <si>
    <t xml:space="preserve">برنامج قرة</t>
  </si>
  <si>
    <t xml:space="preserve">100 – 1K</t>
  </si>
  <si>
    <t xml:space="preserve">kindergarten near me</t>
  </si>
  <si>
    <t xml:space="preserve">-90%</t>
  </si>
  <si>
    <t xml:space="preserve">حضانات الرياض</t>
  </si>
  <si>
    <t xml:space="preserve">روضة اهلية</t>
  </si>
  <si>
    <t xml:space="preserve">nursery riyadh</t>
  </si>
  <si>
    <t xml:space="preserve">حضانة اطفال قريبة مني</t>
  </si>
  <si>
    <t xml:space="preserve">مركز رعاية اطفال</t>
  </si>
  <si>
    <t xml:space="preserve">حضانة في الرياض</t>
  </si>
  <si>
    <t xml:space="preserve">10 – 100</t>
  </si>
  <si>
    <t xml:space="preserve">حضانة حطين</t>
  </si>
  <si>
    <t xml:space="preserve">الأحياء</t>
  </si>
  <si>
    <t xml:space="preserve">حضانة النرجس</t>
  </si>
  <si>
    <t xml:space="preserve">افضل حضانة في الرياض</t>
  </si>
  <si>
    <t xml:space="preserve">High</t>
  </si>
  <si>
    <t xml:space="preserve">حضانة حي الياسمين</t>
  </si>
  <si>
    <t xml:space="preserve">حضانة الملقا</t>
  </si>
  <si>
    <t xml:space="preserve">حضانة للرضع</t>
  </si>
  <si>
    <t xml:space="preserve">رضع</t>
  </si>
  <si>
    <t xml:space="preserve">حضانة اطفال شمال الرياض</t>
  </si>
  <si>
    <t xml:space="preserve">حضانة حي الملقا</t>
  </si>
  <si>
    <t xml:space="preserve">ملخص حسب المجموعة</t>
  </si>
  <si>
    <t xml:space="preserve">المجموعة</t>
  </si>
  <si>
    <t xml:space="preserve">عدد الكلمات</t>
  </si>
  <si>
    <t xml:space="preserve">بحث شهري تقديري</t>
  </si>
  <si>
    <t xml:space="preserve">الإجمالي</t>
  </si>
  <si>
    <t xml:space="preserve">النصوص النهائية المختارة (المظللة بالأخضر)</t>
  </si>
  <si>
    <t xml:space="preserve">15 عنواناً و4 أوصاف و6 روابط و7 Callouts كما اختارها العميل من النبرات الثلاث. العنوان 1 مثبّت في الموضع 1. الإعلان نفسه يُستخدم في كل المجموعات العربية، والمجموعة الإنجليزية لها نسخة إنجليزية بنفس الحقائق.</t>
  </si>
  <si>
    <t xml:space="preserve">العناوين (15)</t>
  </si>
  <si>
    <t xml:space="preserve">الموضع</t>
  </si>
  <si>
    <t xml:space="preserve">النص</t>
  </si>
  <si>
    <t xml:space="preserve">الحروف</t>
  </si>
  <si>
    <t xml:space="preserve">الحد ≤30</t>
  </si>
  <si>
    <t xml:space="preserve">ملاحظة</t>
  </si>
  <si>
    <t xml:space="preserve">عنوان 1</t>
  </si>
  <si>
    <t xml:space="preserve">حضانة قرات الأعين بالياسمين</t>
  </si>
  <si>
    <t xml:space="preserve">مثبّت في الموضع 1</t>
  </si>
  <si>
    <t xml:space="preserve">عنوان 2</t>
  </si>
  <si>
    <t xml:space="preserve">ضيافة أطفال مرخصة بالرياض</t>
  </si>
  <si>
    <t xml:space="preserve">عنوان 3</t>
  </si>
  <si>
    <t xml:space="preserve">رعاية تشبه البيت لطفلك</t>
  </si>
  <si>
    <t xml:space="preserve">عنوان 4</t>
  </si>
  <si>
    <t xml:space="preserve">حضانة مرخصة في الياسمين</t>
  </si>
  <si>
    <t xml:space="preserve">عنوان 5</t>
  </si>
  <si>
    <t xml:space="preserve">مرخصة من الموارد البشرية</t>
  </si>
  <si>
    <t xml:space="preserve">عنوان 6</t>
  </si>
  <si>
    <t xml:space="preserve">بيئة آمنة ومراقبة مستمرة</t>
  </si>
  <si>
    <t xml:space="preserve">عنوان 7</t>
  </si>
  <si>
    <t xml:space="preserve">نحب أطفالنا ونفهمهم</t>
  </si>
  <si>
    <t xml:space="preserve">عنوان 8</t>
  </si>
  <si>
    <t xml:space="preserve">كوادر مؤهلة وذات خبرة</t>
  </si>
  <si>
    <t xml:space="preserve">عنوان 9</t>
  </si>
  <si>
    <t xml:space="preserve">اطمئني وأنتِ في عملك</t>
  </si>
  <si>
    <t xml:space="preserve">عنوان 10</t>
  </si>
  <si>
    <t xml:space="preserve">من شهر حتى 10 سنوات</t>
  </si>
  <si>
    <t xml:space="preserve">عنوان 11</t>
  </si>
  <si>
    <t xml:space="preserve">قسم هادئ للرضع من عمر شهر</t>
  </si>
  <si>
    <t xml:space="preserve">عنوان 12</t>
  </si>
  <si>
    <t xml:space="preserve">أنشطة تعليمية وترفيهية</t>
  </si>
  <si>
    <t xml:space="preserve">عنوان 13</t>
  </si>
  <si>
    <t xml:space="preserve">زورينا وشوفي بنفسك</t>
  </si>
  <si>
    <t xml:space="preserve">عنوان 14</t>
  </si>
  <si>
    <t xml:space="preserve">مركز ضيافة أطفال بالياسمين</t>
  </si>
  <si>
    <t xml:space="preserve">عنوان 15</t>
  </si>
  <si>
    <t xml:space="preserve">أنشطة تعليمية يومية</t>
  </si>
  <si>
    <t xml:space="preserve">الأوصاف (4)</t>
  </si>
  <si>
    <t xml:space="preserve">الحد ≤90</t>
  </si>
  <si>
    <t xml:space="preserve">وصف 1</t>
  </si>
  <si>
    <t xml:space="preserve">مركز ضيافة أطفال مرخص في حي الياسمين، رعاية متكاملة لطفلك أثناء يوم عملك.</t>
  </si>
  <si>
    <t xml:space="preserve">وصف 2</t>
  </si>
  <si>
    <t xml:space="preserve">حضانة في حي الياسمين يحس فيها طفلك بالأمان والدفء، ويرجع لك كل يوم بقصة جديدة.</t>
  </si>
  <si>
    <t xml:space="preserve">وصف 3</t>
  </si>
  <si>
    <t xml:space="preserve">أنشطة تعليمية وترفيهية، كوادر مؤهلة، وبيئة آمنة بمراقبة مستمرة طوال اليوم.</t>
  </si>
  <si>
    <t xml:space="preserve">وصف 4</t>
  </si>
  <si>
    <t xml:space="preserve">نستقبل الأطفال من عمر شهر حتى 10 سنوات، والمركز مرخص من الموارد البشرية. احجزي زيارتك.</t>
  </si>
  <si>
    <t xml:space="preserve">Sitelinks – نص الرابط (6)</t>
  </si>
  <si>
    <t xml:space="preserve">الحد ≤25</t>
  </si>
  <si>
    <t xml:space="preserve">Sitelink 1</t>
  </si>
  <si>
    <t xml:space="preserve">قسم الرضع</t>
  </si>
  <si>
    <t xml:space="preserve">سطرا الوصف أدناه مقترحان</t>
  </si>
  <si>
    <t xml:space="preserve">Sitelink 2</t>
  </si>
  <si>
    <t xml:space="preserve">احجزي جولة بالمركز</t>
  </si>
  <si>
    <t xml:space="preserve">Sitelink 3</t>
  </si>
  <si>
    <t xml:space="preserve">Sitelink 4</t>
  </si>
  <si>
    <t xml:space="preserve">بيئة آمنة ومراقبة</t>
  </si>
  <si>
    <t xml:space="preserve">Sitelink 5</t>
  </si>
  <si>
    <t xml:space="preserve">Sitelink 6</t>
  </si>
  <si>
    <t xml:space="preserve">متابعة يومية لولي الأمر</t>
  </si>
  <si>
    <t xml:space="preserve">Sitelinks – سطرا الوصف (مقترح)</t>
  </si>
  <si>
    <t xml:space="preserve">الحد ≤35</t>
  </si>
  <si>
    <t xml:space="preserve">Sitelink 1 – سطر 1</t>
  </si>
  <si>
    <t xml:space="preserve">من عمر شهر</t>
  </si>
  <si>
    <t xml:space="preserve">Sitelink 1 – سطر 2</t>
  </si>
  <si>
    <t xml:space="preserve">بكوادر مدربة</t>
  </si>
  <si>
    <t xml:space="preserve">Sitelink 2 – سطر 1</t>
  </si>
  <si>
    <t xml:space="preserve">تعالي شوفي المكان</t>
  </si>
  <si>
    <t xml:space="preserve">Sitelink 2 – سطر 2</t>
  </si>
  <si>
    <t xml:space="preserve">وتعرفي على المربيات</t>
  </si>
  <si>
    <t xml:space="preserve">Sitelink 3 – سطر 1</t>
  </si>
  <si>
    <t xml:space="preserve">مربيات مؤهلات</t>
  </si>
  <si>
    <t xml:space="preserve">Sitelink 3 – سطر 2</t>
  </si>
  <si>
    <t xml:space="preserve">وخبرة في رعاية الأطفال</t>
  </si>
  <si>
    <t xml:space="preserve">Sitelink 4 – سطر 1</t>
  </si>
  <si>
    <t xml:space="preserve">مراقبة مستمرة</t>
  </si>
  <si>
    <t xml:space="preserve">Sitelink 4 – سطر 2</t>
  </si>
  <si>
    <t xml:space="preserve">طوال اليوم</t>
  </si>
  <si>
    <t xml:space="preserve">Sitelink 5 – سطر 1</t>
  </si>
  <si>
    <t xml:space="preserve">برنامج يومي</t>
  </si>
  <si>
    <t xml:space="preserve">Sitelink 5 – سطر 2</t>
  </si>
  <si>
    <t xml:space="preserve">تعليم ولعب</t>
  </si>
  <si>
    <t xml:space="preserve">Sitelink 6 – سطر 1</t>
  </si>
  <si>
    <t xml:space="preserve">تقرير يومي</t>
  </si>
  <si>
    <t xml:space="preserve">Sitelink 6 – سطر 2</t>
  </si>
  <si>
    <t xml:space="preserve">عن يوم طفلك</t>
  </si>
  <si>
    <t xml:space="preserve">Callouts (7)</t>
  </si>
  <si>
    <t xml:space="preserve">Callout 1</t>
  </si>
  <si>
    <t xml:space="preserve">في قلب حي الياسمين</t>
  </si>
  <si>
    <t xml:space="preserve">Callout 2</t>
  </si>
  <si>
    <t xml:space="preserve">Callout 3</t>
  </si>
  <si>
    <t xml:space="preserve">Callout 4</t>
  </si>
  <si>
    <t xml:space="preserve">Callout 5</t>
  </si>
  <si>
    <t xml:space="preserve">التسجيل مفتوح الآن</t>
  </si>
  <si>
    <t xml:space="preserve">Callout 6</t>
  </si>
  <si>
    <t xml:space="preserve">Callout 7</t>
  </si>
  <si>
    <t xml:space="preserve">في قلب شمال الرياض</t>
  </si>
  <si>
    <t xml:space="preserve">الإعلان الإنجليزي – المجموعة English (مقترح بنفس الحقائق)</t>
  </si>
  <si>
    <t xml:space="preserve">Headline 1</t>
  </si>
  <si>
    <t xml:space="preserve">Qurrat Al Ayun Nursery</t>
  </si>
  <si>
    <t xml:space="preserve">Pin position 1</t>
  </si>
  <si>
    <t xml:space="preserve">Headline 2</t>
  </si>
  <si>
    <t xml:space="preserve">Licensed Nursery in Al Yasmin</t>
  </si>
  <si>
    <t xml:space="preserve">Headline 3</t>
  </si>
  <si>
    <t xml:space="preserve">Licensed by HRSD</t>
  </si>
  <si>
    <t xml:space="preserve">Headline 4</t>
  </si>
  <si>
    <t xml:space="preserve">Safe, Supervised Environment</t>
  </si>
  <si>
    <t xml:space="preserve">Headline 5</t>
  </si>
  <si>
    <t xml:space="preserve">Qualified, Caring Staff</t>
  </si>
  <si>
    <t xml:space="preserve">Headline 6</t>
  </si>
  <si>
    <t xml:space="preserve">Ages 1 Month to 10 Years</t>
  </si>
  <si>
    <t xml:space="preserve">Headline 7</t>
  </si>
  <si>
    <t xml:space="preserve">Quiet Infant Section</t>
  </si>
  <si>
    <t xml:space="preserve">Headline 8</t>
  </si>
  <si>
    <t xml:space="preserve">Learning and Fun Activities</t>
  </si>
  <si>
    <t xml:space="preserve">Headline 9</t>
  </si>
  <si>
    <t xml:space="preserve">Nursery &amp; Daycare Near You</t>
  </si>
  <si>
    <t xml:space="preserve">Headline 10</t>
  </si>
  <si>
    <t xml:space="preserve">Come Visit Us in Al Yasmin</t>
  </si>
  <si>
    <t xml:space="preserve">Headline 11</t>
  </si>
  <si>
    <t xml:space="preserve">Daily Updates for Parents</t>
  </si>
  <si>
    <t xml:space="preserve">Headline 12</t>
  </si>
  <si>
    <t xml:space="preserve">A Home Away From Home</t>
  </si>
  <si>
    <t xml:space="preserve">Headline 13</t>
  </si>
  <si>
    <t xml:space="preserve">Book a Visit Today</t>
  </si>
  <si>
    <t xml:space="preserve">Headline 14</t>
  </si>
  <si>
    <t xml:space="preserve">Chat With Us on WhatsApp</t>
  </si>
  <si>
    <t xml:space="preserve">Headline 15</t>
  </si>
  <si>
    <t xml:space="preserve">Enrollment Open Now</t>
  </si>
  <si>
    <t xml:space="preserve">الإعلان الإنجليزي – الأوصاف</t>
  </si>
  <si>
    <t xml:space="preserve">Description 1</t>
  </si>
  <si>
    <t xml:space="preserve">Licensed nursery and daycare in Al Yasmin, Riyadh. Full-day care while you work.</t>
  </si>
  <si>
    <t xml:space="preserve">Description 2</t>
  </si>
  <si>
    <t xml:space="preserve">Learning and fun activities, qualified staff, and a safe supervised environment all day.</t>
  </si>
  <si>
    <t xml:space="preserve">Description 3</t>
  </si>
  <si>
    <t xml:space="preserve">We welcome children from 1 month to 10 years. Licensed by HRSD. Book your visit today.</t>
  </si>
  <si>
    <t xml:space="preserve">Description 4</t>
  </si>
  <si>
    <t xml:space="preserve">Call or message us on WhatsApp for details and available places this month.</t>
  </si>
  <si>
    <t xml:space="preserve">هيكل الحملة النهائي – حملة واحدة، 8 مجموعات، 26 كلمة</t>
  </si>
  <si>
    <t xml:space="preserve">الإعدادات كما في ورقة «إعدادات الحملة». مجموعة «اختبار [حضانة]» بمطابقة تامة فقط: إن استهلكت أكثر من 40% من الإنفاق في الأسبوع الأول أوقفها. المجموعة الإنجليزية تستخدم الإعلان الإنجليزي من ورقة «النصوص النهائية».</t>
  </si>
  <si>
    <t xml:space="preserve">المجموعة الإعلانية</t>
  </si>
  <si>
    <t xml:space="preserve">المطابقة</t>
  </si>
  <si>
    <t xml:space="preserve">ضيافة أطفال – عام</t>
  </si>
  <si>
    <t xml:space="preserve">Phrase + Exact</t>
  </si>
  <si>
    <t xml:space="preserve">إعلان إنجليزي</t>
  </si>
  <si>
    <t xml:space="preserve">حضانة قرة (منافس)</t>
  </si>
  <si>
    <t xml:space="preserve">لا يُذكر «قرة» في نص الإعلان</t>
  </si>
  <si>
    <t xml:space="preserve">Phrase</t>
  </si>
  <si>
    <t xml:space="preserve">روضة ورياض أطفال</t>
  </si>
  <si>
    <t xml:space="preserve">«تسجيل روضة» و«رياض اطفال» قد تجلب تسجيلاً حكومياً، راقب وأضف سلبيات</t>
  </si>
  <si>
    <t xml:space="preserve">اختبار [حضانة]</t>
  </si>
  <si>
    <t xml:space="preserve">Exact</t>
  </si>
  <si>
    <t xml:space="preserve">نية مختلطة، تُراجع مصطلحات البحث أسبوعياً</t>
  </si>
  <si>
    <t xml:space="preserve">سلبيات إضافية مطلوبة (غير موجودة في ورقة السلبيات)</t>
  </si>
  <si>
    <t xml:space="preserve">[قرة]</t>
  </si>
  <si>
    <t xml:space="preserve">مطابقة تامة</t>
  </si>
  <si>
    <t xml:space="preserve">البرنامج الحكومي 10K–100K بحث، تحجب الكلمة المفردة فقط</t>
  </si>
  <si>
    <t xml:space="preserve">[روضة]</t>
  </si>
  <si>
    <t xml:space="preserve">حي الروضة والروضة الشريفة</t>
  </si>
  <si>
    <t xml:space="preserve">مسائية / مسائي / بعد الظهر</t>
  </si>
  <si>
    <t xml:space="preserve">لا توجد فترة مسائية</t>
  </si>
  <si>
    <t xml:space="preserve">حديثي الولادة</t>
  </si>
  <si>
    <t xml:space="preserve">نستقبل من عمر شهر</t>
  </si>
  <si>
    <t xml:space="preserve">بيض، خدج، مستشفى، نباتات، مشتل</t>
  </si>
  <si>
    <t xml:space="preserve">Phrase – مجموعة [حضانة] فقط</t>
  </si>
  <si>
    <t xml:space="preserve">المعاني الأخرى لكلمة حضانة</t>
  </si>
  <si>
    <t xml:space="preserve">كيف تظهر حملة البحث في خرائط Google</t>
  </si>
  <si>
    <t xml:space="preserve">لا يوجد خيار «خرائط فقط» في Google Ads. حملة البحث تظهر في البحث والخرائط معاً متى كان أصل الموقع مفعّلاً والبحث ذا نية محلية. الخطوات التالية هي شروط الظهور وطريقة قياسه منفصلاً.</t>
  </si>
  <si>
    <t xml:space="preserve">#</t>
  </si>
  <si>
    <t xml:space="preserve">الخطوة</t>
  </si>
  <si>
    <t xml:space="preserve">التفاصيل</t>
  </si>
  <si>
    <t xml:space="preserve">المسؤول</t>
  </si>
  <si>
    <t xml:space="preserve">1</t>
  </si>
  <si>
    <t xml:space="preserve">تحقق من ملف النشاط التجاري (Google Business Profile)</t>
  </si>
  <si>
    <t xml:space="preserve">الملف «حضانة قرات الأعين لضيافة الأطفال الأهلية» يجب أن يكون موثّقاً، والفئة الرئيسية «مركز رعاية نهارية» أو «حضانة»، والعنوان داخل نطاق الاستهداف، ورقم الهاتف 059 597 4390 نفسه في Ads والملف</t>
  </si>
  <si>
    <t xml:space="preserve">الإدارة + فريق الإعلانات</t>
  </si>
  <si>
    <t xml:space="preserve">2</t>
  </si>
  <si>
    <t xml:space="preserve">اربط الملف بحساب Google Ads</t>
  </si>
  <si>
    <t xml:space="preserve">Google Ads ← Assets ← Location ← Link to a Google Business Profile ← اختر الملف. يحتاج أن يكون إيميل الحساب مالكاً أو مديراً للملف</t>
  </si>
  <si>
    <t xml:space="preserve">فريق الإعلانات</t>
  </si>
  <si>
    <t xml:space="preserve">3</t>
  </si>
  <si>
    <t xml:space="preserve">فعّل أصل الموقع على مستوى الحملة</t>
  </si>
  <si>
    <t xml:space="preserve">داخل الحملة ← Assets ← Location ← تأكد أنه مفعّل وليس مستبعداً. بدونه لن يظهر الإعلان في الخرائط</t>
  </si>
  <si>
    <t xml:space="preserve">4</t>
  </si>
  <si>
    <t xml:space="preserve">أضف أصل الاتصال (Call asset)</t>
  </si>
  <si>
    <t xml:space="preserve">الرقم 059 597 4390 مع Call reporting مفعّل وجدول يطابق ساعات الرد. يظهر زر الاتصال في الخرائط وفي البحث</t>
  </si>
  <si>
    <t xml:space="preserve">5</t>
  </si>
  <si>
    <t xml:space="preserve">استهداف Presence فقط</t>
  </si>
  <si>
    <t xml:space="preserve">إعدادات الحملة ← Locations ← Location options ← Presence. الخرائط تعرض الإعلان للموجودين فعلياً قرب المركز</t>
  </si>
  <si>
    <t xml:space="preserve">6</t>
  </si>
  <si>
    <t xml:space="preserve">كلمات بنية محلية</t>
  </si>
  <si>
    <t xml:space="preserve">مجموعتا «قريب مني» و«الأحياء» هما الأكثر ظهوراً في الخرائط. أضف Structured snippet بعنوان Neighborhoods بأسماء الأحياء</t>
  </si>
  <si>
    <t xml:space="preserve">7</t>
  </si>
  <si>
    <t xml:space="preserve">لا تحاول عزل الخرائط</t>
  </si>
  <si>
    <t xml:space="preserve">لا يوجد خيار «خرائط فقط». الإعلان يظهر في البحث والخرائط معاً. إلغاء Search partners وDisplay لا يؤثر على الخرائط</t>
  </si>
  <si>
    <t xml:space="preserve">—</t>
  </si>
  <si>
    <t xml:space="preserve">8</t>
  </si>
  <si>
    <t xml:space="preserve">قياس أداء الخرائط منفصلاً</t>
  </si>
  <si>
    <t xml:space="preserve">التقارير ← Segment ← Click type: «Get directions» و«Get location details» و«Mobile clicks-to-call» = نقرات الخرائط. قارنها بنقرات «Headline» = نقرات البحث للموقع</t>
  </si>
  <si>
    <t xml:space="preserve">9</t>
  </si>
  <si>
    <t xml:space="preserve">فئة التحويل Local actions</t>
  </si>
  <si>
    <t xml:space="preserve">في Goals ← Conversions ستظهر Local actions (Directions, Calls, Website visits من الملف) تلقائياً بعد الربط. اضبطها Secondary</t>
  </si>
  <si>
    <t xml:space="preserve">10</t>
  </si>
  <si>
    <t xml:space="preserve">اختبار الظهور</t>
  </si>
  <si>
    <t xml:space="preserve">لا تبحث عن إعلانك وتنقر عليه. استخدم Ad Preview and Diagnosis للبحث، وراقب Impressions بـ Click type للخرائط بعد 48 ساعة</t>
  </si>
  <si>
    <t xml:space="preserve">11</t>
  </si>
  <si>
    <t xml:space="preserve">تحسين الملف يرفع ظهور الخرائط</t>
  </si>
  <si>
    <t xml:space="preserve">صور حديثة، الدوام، الخدمات والأعمار، رابط الحجز، الرد على التقييمات، منشور أسبوعي (ملاحظة #6). جودة الملف تؤثر على ترتيب الإعلان في الخرائط</t>
  </si>
  <si>
    <t xml:space="preserve">الإدارة</t>
  </si>
  <si>
    <t xml:space="preserve">الكلمات السلبية</t>
  </si>
  <si>
    <t xml:space="preserve">القائمة المشتركة تُنشأ في Tools ← Shared library ← Negative keyword lists وتُربط بحملة البحث وبحملة Smart (إن أمكن). الصفوف الحمراء كلمات سلبية موجودة اليوم في حملات Smart وتحجب بحثاً حقيقياً عن الحضانة، ويجب حذفها (ملاحظة #8).</t>
  </si>
  <si>
    <t xml:space="preserve">الإجراء</t>
  </si>
  <si>
    <t xml:space="preserve">الفئة</t>
  </si>
  <si>
    <t xml:space="preserve">الكلمة السلبية</t>
  </si>
  <si>
    <t xml:space="preserve">قائمة مشتركة – تُضاف</t>
  </si>
  <si>
    <t xml:space="preserve">تعليم/مدارس</t>
  </si>
  <si>
    <t xml:space="preserve">مدارس</t>
  </si>
  <si>
    <t xml:space="preserve">Broad</t>
  </si>
  <si>
    <t xml:space="preserve">مدرسة</t>
  </si>
  <si>
    <t xml:space="preserve">ابتدائي</t>
  </si>
  <si>
    <t xml:space="preserve">ابتدائية</t>
  </si>
  <si>
    <t xml:space="preserve">متوسط</t>
  </si>
  <si>
    <t xml:space="preserve">ثانوي</t>
  </si>
  <si>
    <t xml:space="preserve">تحفيظ</t>
  </si>
  <si>
    <t xml:space="preserve">قران</t>
  </si>
  <si>
    <t xml:space="preserve">قرآن</t>
  </si>
  <si>
    <t xml:space="preserve">حكومي</t>
  </si>
  <si>
    <t xml:space="preserve">حكومية</t>
  </si>
  <si>
    <t xml:space="preserve">منهج</t>
  </si>
  <si>
    <t xml:space="preserve">مناهج</t>
  </si>
  <si>
    <t xml:space="preserve">نور</t>
  </si>
  <si>
    <t xml:space="preserve">نظام نور</t>
  </si>
  <si>
    <t xml:space="preserve">وظائف</t>
  </si>
  <si>
    <t xml:space="preserve">وظيفة</t>
  </si>
  <si>
    <t xml:space="preserve">توظيف</t>
  </si>
  <si>
    <t xml:space="preserve">رواتب</t>
  </si>
  <si>
    <t xml:space="preserve">راتب</t>
  </si>
  <si>
    <t xml:space="preserve">معلمة</t>
  </si>
  <si>
    <t xml:space="preserve">معلمات</t>
  </si>
  <si>
    <t xml:space="preserve">مطلوب</t>
  </si>
  <si>
    <t xml:space="preserve">تقديم على وظيفة</t>
  </si>
  <si>
    <t xml:space="preserve">سيرة ذاتية</t>
  </si>
  <si>
    <t xml:space="preserve">تدريب/دورات</t>
  </si>
  <si>
    <t xml:space="preserve">دورات</t>
  </si>
  <si>
    <t xml:space="preserve">دورة</t>
  </si>
  <si>
    <t xml:space="preserve">تدريب</t>
  </si>
  <si>
    <t xml:space="preserve">شهادة</t>
  </si>
  <si>
    <t xml:space="preserve">دبلوم</t>
  </si>
  <si>
    <t xml:space="preserve">رخصة مزاولة</t>
  </si>
  <si>
    <t xml:space="preserve">ترفيه</t>
  </si>
  <si>
    <t xml:space="preserve">ملاهي</t>
  </si>
  <si>
    <t xml:space="preserve">العاب</t>
  </si>
  <si>
    <t xml:space="preserve">ألعاب</t>
  </si>
  <si>
    <t xml:space="preserve">ترفيهي</t>
  </si>
  <si>
    <t xml:space="preserve">ترفيهية</t>
  </si>
  <si>
    <t xml:space="preserve">حفلات</t>
  </si>
  <si>
    <t xml:space="preserve">مخيم</t>
  </si>
  <si>
    <t xml:space="preserve">مخيم صيفي</t>
  </si>
  <si>
    <t xml:space="preserve">نادي صيفي</t>
  </si>
  <si>
    <t xml:space="preserve">منتجات</t>
  </si>
  <si>
    <t xml:space="preserve">مستلزمات</t>
  </si>
  <si>
    <t xml:space="preserve">ملابس</t>
  </si>
  <si>
    <t xml:space="preserve">كتب</t>
  </si>
  <si>
    <t xml:space="preserve">تلوين</t>
  </si>
  <si>
    <t xml:space="preserve">pdf</t>
  </si>
  <si>
    <t xml:space="preserve">اناشيد</t>
  </si>
  <si>
    <t xml:space="preserve">أناشيد</t>
  </si>
  <si>
    <t xml:space="preserve">اثاث</t>
  </si>
  <si>
    <t xml:space="preserve">أثاث</t>
  </si>
  <si>
    <t xml:space="preserve">تصميم</t>
  </si>
  <si>
    <t xml:space="preserve">ديكور</t>
  </si>
  <si>
    <t xml:space="preserve">كاميرات</t>
  </si>
  <si>
    <t xml:space="preserve">نوع خدمة مختلف</t>
  </si>
  <si>
    <t xml:space="preserve">جليسة</t>
  </si>
  <si>
    <t xml:space="preserve">مربية</t>
  </si>
  <si>
    <t xml:space="preserve">مربية منزلية</t>
  </si>
  <si>
    <t xml:space="preserve">حضانة منزلية</t>
  </si>
  <si>
    <t xml:space="preserve">شغالة</t>
  </si>
  <si>
    <t xml:space="preserve">خادمة</t>
  </si>
  <si>
    <t xml:space="preserve">بيبي سيتر</t>
  </si>
  <si>
    <t xml:space="preserve">جمعية</t>
  </si>
  <si>
    <t xml:space="preserve">ايتام</t>
  </si>
  <si>
    <t xml:space="preserve">أيتام</t>
  </si>
  <si>
    <t xml:space="preserve">دار رعاية</t>
  </si>
  <si>
    <t xml:space="preserve">مركز توحد</t>
  </si>
  <si>
    <t xml:space="preserve">معنى آخر لكلمة حضانة</t>
  </si>
  <si>
    <t xml:space="preserve">بيض</t>
  </si>
  <si>
    <t xml:space="preserve">دجاج</t>
  </si>
  <si>
    <t xml:space="preserve">خدج</t>
  </si>
  <si>
    <t xml:space="preserve">مستشفى</t>
  </si>
  <si>
    <t xml:space="preserve">نباتات</t>
  </si>
  <si>
    <t xml:space="preserve">شتلات</t>
  </si>
  <si>
    <t xml:space="preserve">مشتل</t>
  </si>
  <si>
    <t xml:space="preserve">قطط</t>
  </si>
  <si>
    <t xml:space="preserve">طيور</t>
  </si>
  <si>
    <t xml:space="preserve">تفريخ</t>
  </si>
  <si>
    <t xml:space="preserve">فتح حضانة (مستثمرون)</t>
  </si>
  <si>
    <t xml:space="preserve">فتح حضانة</t>
  </si>
  <si>
    <t xml:space="preserve">مشروع حضانة</t>
  </si>
  <si>
    <t xml:space="preserve">شروط فتح</t>
  </si>
  <si>
    <t xml:space="preserve">ترخيص حضانة</t>
  </si>
  <si>
    <t xml:space="preserve">رخصة حضانة</t>
  </si>
  <si>
    <t xml:space="preserve">دراسة جدوى</t>
  </si>
  <si>
    <t xml:space="preserve">تكلفة فتح</t>
  </si>
  <si>
    <t xml:space="preserve">استثمار</t>
  </si>
  <si>
    <t xml:space="preserve">مجاني</t>
  </si>
  <si>
    <t xml:space="preserve">مجانية</t>
  </si>
  <si>
    <t xml:space="preserve">مجانا</t>
  </si>
  <si>
    <t xml:space="preserve">مجاناً</t>
  </si>
  <si>
    <t xml:space="preserve">ببلاش</t>
  </si>
  <si>
    <t xml:space="preserve">مدن أخرى</t>
  </si>
  <si>
    <t xml:space="preserve">جدة</t>
  </si>
  <si>
    <t xml:space="preserve">الدمام</t>
  </si>
  <si>
    <t xml:space="preserve">الخبر</t>
  </si>
  <si>
    <t xml:space="preserve">مكة</t>
  </si>
  <si>
    <t xml:space="preserve">المدينة</t>
  </si>
  <si>
    <t xml:space="preserve">القصيم</t>
  </si>
  <si>
    <t xml:space="preserve">بريدة</t>
  </si>
  <si>
    <t xml:space="preserve">الطائف</t>
  </si>
  <si>
    <t xml:space="preserve">ابها</t>
  </si>
  <si>
    <t xml:space="preserve">أبها</t>
  </si>
  <si>
    <t xml:space="preserve">تبوك</t>
  </si>
  <si>
    <t xml:space="preserve">حائل</t>
  </si>
  <si>
    <t xml:space="preserve">الاحساء</t>
  </si>
  <si>
    <t xml:space="preserve">الأحساء</t>
  </si>
  <si>
    <t xml:space="preserve">جازان</t>
  </si>
  <si>
    <t xml:space="preserve">نجران</t>
  </si>
  <si>
    <t xml:space="preserve">الجبيل</t>
  </si>
  <si>
    <t xml:space="preserve">ينبع</t>
  </si>
  <si>
    <t xml:space="preserve">أحياء بعيدة عن النطاق</t>
  </si>
  <si>
    <t xml:space="preserve">الشفا</t>
  </si>
  <si>
    <t xml:space="preserve">العزيزية</t>
  </si>
  <si>
    <t xml:space="preserve">السويدي</t>
  </si>
  <si>
    <t xml:space="preserve">بدر</t>
  </si>
  <si>
    <t xml:space="preserve">الدار البيضاء</t>
  </si>
  <si>
    <t xml:space="preserve">النسيم</t>
  </si>
  <si>
    <t xml:space="preserve">الروضة</t>
  </si>
  <si>
    <t xml:space="preserve">الخليج</t>
  </si>
  <si>
    <t xml:space="preserve">اشبيلية</t>
  </si>
  <si>
    <t xml:space="preserve">إشبيلية</t>
  </si>
  <si>
    <t xml:space="preserve">المونسية</t>
  </si>
  <si>
    <t xml:space="preserve">قرطبة</t>
  </si>
  <si>
    <t xml:space="preserve">الرمال</t>
  </si>
  <si>
    <t xml:space="preserve">jobs</t>
  </si>
  <si>
    <t xml:space="preserve">job</t>
  </si>
  <si>
    <t xml:space="preserve">salary</t>
  </si>
  <si>
    <t xml:space="preserve">teacher</t>
  </si>
  <si>
    <t xml:space="preserve">vacancy</t>
  </si>
  <si>
    <t xml:space="preserve">free</t>
  </si>
  <si>
    <t xml:space="preserve">school</t>
  </si>
  <si>
    <t xml:space="preserve">course</t>
  </si>
  <si>
    <t xml:space="preserve">training</t>
  </si>
  <si>
    <t xml:space="preserve">plants</t>
  </si>
  <si>
    <t xml:space="preserve">incubator</t>
  </si>
  <si>
    <t xml:space="preserve">eggs</t>
  </si>
  <si>
    <t xml:space="preserve">franchise</t>
  </si>
  <si>
    <t xml:space="preserve">business plan</t>
  </si>
  <si>
    <t xml:space="preserve">تُحذف من الحملات الحالية</t>
  </si>
  <si>
    <t xml:space="preserve">تحجب طلباً أساسياً</t>
  </si>
  <si>
    <t xml:space="preserve">مراكز حضانة</t>
  </si>
  <si>
    <t xml:space="preserve">مركز رعاية نهارية</t>
  </si>
  <si>
    <t xml:space="preserve">مركز لرعاية الأطفال</t>
  </si>
  <si>
    <t xml:space="preserve">للطفولة المبكرة</t>
  </si>
  <si>
    <t xml:space="preserve">حي النرجس</t>
  </si>
  <si>
    <t xml:space="preserve">حضانات حي النرجس</t>
  </si>
  <si>
    <t xml:space="preserve">حضانة القيروان</t>
  </si>
  <si>
    <t xml:space="preserve">الربيع</t>
  </si>
  <si>
    <t xml:space="preserve">روضات الملقا</t>
  </si>
  <si>
    <t xml:space="preserve">روضه اهليه</t>
  </si>
  <si>
    <t xml:space="preserve">روضات اهليه قريبه من موقعي</t>
  </si>
  <si>
    <t xml:space="preserve">إعدادات الحملة (مشتركة بين النبرات) – إصدار 1 (مرجع)</t>
  </si>
  <si>
    <t xml:space="preserve">الإعداد</t>
  </si>
  <si>
    <t xml:space="preserve">القيمة</t>
  </si>
  <si>
    <t xml:space="preserve">اسم الحملة</t>
  </si>
  <si>
    <t xml:space="preserve">قرات الأعين – بحث – الرياض</t>
  </si>
  <si>
    <t xml:space="preserve">نوع الحملة</t>
  </si>
  <si>
    <t xml:space="preserve">Search (بحث) بدون توجيه هدف، أو هدف Leads</t>
  </si>
  <si>
    <t xml:space="preserve">لا تختر Smart ولا Performance Max في هذه المرحلة</t>
  </si>
  <si>
    <t xml:space="preserve">الشبكات</t>
  </si>
  <si>
    <t xml:space="preserve">Google Search فقط</t>
  </si>
  <si>
    <t xml:space="preserve">ألغِ Search partners وألغِ Display Network. خرائط Google ضمن شبكة البحث وستظهر تلقائياً مع أصل الموقع</t>
  </si>
  <si>
    <t xml:space="preserve">الاستهداف الجغرافي</t>
  </si>
  <si>
    <t xml:space="preserve">نصف قطر 8–10 كم حول المركز (حي الياسمين) + أحياء: الياسمين، النرجس، الملقا، العارض، الصحافة، القيروان، حطين</t>
  </si>
  <si>
    <t xml:space="preserve">الخطة الأصلية: اختبار 8–10 كم بدل 14 كم لمدة 4 أسابيع (ملاحظة #17)</t>
  </si>
  <si>
    <t xml:space="preserve">خيار الموقع (Location options)</t>
  </si>
  <si>
    <t xml:space="preserve">Presence: الأشخاص الموجودون في المواقع المستهدفة أو يزورونها بانتظام</t>
  </si>
  <si>
    <t xml:space="preserve">لا تستخدم Presence or interest، فهو يجلب نقرات من خارج الرياض</t>
  </si>
  <si>
    <t xml:space="preserve">اللغات</t>
  </si>
  <si>
    <t xml:space="preserve">العربية + الإنجليزية</t>
  </si>
  <si>
    <t xml:space="preserve">المجموعة الإنجليزية منفصلة بنصوصها</t>
  </si>
  <si>
    <t xml:space="preserve">الميزانية اليومية</t>
  </si>
  <si>
    <t xml:space="preserve">30 ريال</t>
  </si>
  <si>
    <t xml:space="preserve">≈ 25–30% من إجمالي 150 ريال/يوم (90 Smart + 60 الياسمين). تُنقل تدريجياً حسب تكلفة العميل</t>
  </si>
  <si>
    <t xml:space="preserve">استراتيجية المزايدة – المرحلة 1</t>
  </si>
  <si>
    <t xml:space="preserve">Maximize clicks مع حد أقصى لتكلفة النقرة 3 ريال</t>
  </si>
  <si>
    <t xml:space="preserve">الأسابيع 1–4 لجمع بيانات</t>
  </si>
  <si>
    <t xml:space="preserve">استراتيجية المزايدة – المرحلة 2</t>
  </si>
  <si>
    <t xml:space="preserve">Maximize conversions</t>
  </si>
  <si>
    <t xml:space="preserve">بعد تسجيل ≈ 15 تحويلاً حقيقياً شهرياً من الموقع</t>
  </si>
  <si>
    <t xml:space="preserve">استراتيجية المزايدة – المرحلة 3</t>
  </si>
  <si>
    <t xml:space="preserve">Target CPA</t>
  </si>
  <si>
    <t xml:space="preserve">بعد 30+ تحويلاً، الهدف المبدئي ≈ 60–90 ريال للعميل المؤهل ثم يُعدَّل</t>
  </si>
  <si>
    <t xml:space="preserve">جدول الإعلانات</t>
  </si>
  <si>
    <t xml:space="preserve">كل الأيام 24/7 في أول 4 أسابيع</t>
  </si>
  <si>
    <t xml:space="preserve">ثم إيقاف الساعات التي لا تأتي بعملاء (ملاحظة #25، #26)</t>
  </si>
  <si>
    <t xml:space="preserve">تدوير الإعلانات</t>
  </si>
  <si>
    <t xml:space="preserve">Optimize: prefer best performing ads</t>
  </si>
  <si>
    <t xml:space="preserve">إعداد Broad match keywords</t>
  </si>
  <si>
    <t xml:space="preserve">إيقاف</t>
  </si>
  <si>
    <t xml:space="preserve">حتى لا تتحول كل الكلمات إلى Broad</t>
  </si>
  <si>
    <t xml:space="preserve">AI Max for Search</t>
  </si>
  <si>
    <t xml:space="preserve">يُعاد تقييمه بعد شهرين من البيانات</t>
  </si>
  <si>
    <t xml:space="preserve">الأصول المُنشأة تلقائياً</t>
  </si>
  <si>
    <t xml:space="preserve">إيقاف Automatically created assets</t>
  </si>
  <si>
    <t xml:space="preserve">للتحكم الكامل في النصوص في البداية</t>
  </si>
  <si>
    <t xml:space="preserve">الرابط النهائي (Final URL)</t>
  </si>
  <si>
    <t xml:space="preserve">[صفحة الهبوط المخصصة]</t>
  </si>
  <si>
    <t xml:space="preserve">حتى جاهزيتها: الصفحة الرئيسية للموقع بعد التأكد من فهرسته (ملاحظة #5). لا توجّه الحملة إلى ملف النشاط التجاري</t>
  </si>
  <si>
    <t xml:space="preserve">قالب التتبع (Tracking template)</t>
  </si>
  <si>
    <t xml:space="preserve">{lpurl}?utm_source=google&amp;utm_medium=cpc&amp;utm_campaign=search_riyadh&amp;utm_term={keyword}&amp;utm_content={adgroupid}</t>
  </si>
  <si>
    <t xml:space="preserve">يُضبط على مستوى الحملة</t>
  </si>
  <si>
    <t xml:space="preserve">التحويلات Primary</t>
  </si>
  <si>
    <t xml:space="preserve">إرسال نموذج «احجزي زيارة» • نقرة واتساب • نقرة اتصال (tel:) من الموقع</t>
  </si>
  <si>
    <t xml:space="preserve">عبر Google tag أو GTM (خطوات 12–14 في الخطة)</t>
  </si>
  <si>
    <t xml:space="preserve">التحويلات Secondary</t>
  </si>
  <si>
    <t xml:space="preserve">طلب الاتجاهات • نقرات الموقع من الملف • مشاهدة القائمة • Calls from ads</t>
  </si>
  <si>
    <t xml:space="preserve">تُرى في التقارير ولا تؤثر على المزايدة</t>
  </si>
  <si>
    <t xml:space="preserve">Enhanced conversions for leads</t>
  </si>
  <si>
    <t xml:space="preserve">تفعيل مع رقم الجوال من النموذج</t>
  </si>
  <si>
    <t xml:space="preserve">لربط العميل المسجّل فعلياً بالنقرة (استيراد offline)</t>
  </si>
  <si>
    <t xml:space="preserve">التسمية</t>
  </si>
  <si>
    <t xml:space="preserve">الحساب: قرات الأعين – Google Ads • الحملة: قرات الأعين – بحث – الرياض • المجموعات: بأسماء وصفية</t>
  </si>
  <si>
    <t xml:space="preserve">ملاحظة #29</t>
  </si>
</sst>
</file>

<file path=xl/styles.xml><?xml version="1.0" encoding="utf-8"?>
<styleSheet xmlns="http://schemas.openxmlformats.org/spreadsheetml/2006/main">
  <numFmts count="5">
    <numFmt numFmtId="164" formatCode="General"/>
    <numFmt numFmtId="165" formatCode="#,##0"/>
    <numFmt numFmtId="166" formatCode="0%"/>
    <numFmt numFmtId="167" formatCode="0.00"/>
    <numFmt numFmtId="168" formatCode="General"/>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color rgb="FFC00000"/>
      <name val="Arial"/>
      <family val="0"/>
      <charset val="1"/>
    </font>
    <font>
      <i val="true"/>
      <sz val="10"/>
      <name val="Arial"/>
      <family val="0"/>
      <charset val="1"/>
    </font>
    <font>
      <sz val="10"/>
      <name val="Arial"/>
      <family val="0"/>
      <charset val="1"/>
    </font>
    <font>
      <b val="true"/>
      <sz val="11"/>
      <name val="Arial"/>
      <family val="0"/>
      <charset val="1"/>
    </font>
    <font>
      <b val="true"/>
      <sz val="10"/>
      <name val="Arial"/>
      <family val="0"/>
      <charset val="1"/>
    </font>
    <font>
      <i val="true"/>
      <sz val="10"/>
      <color rgb="FF595959"/>
      <name val="Arial"/>
      <family val="0"/>
      <charset val="1"/>
    </font>
    <font>
      <b val="true"/>
      <sz val="11"/>
      <color rgb="FFFFFFFF"/>
      <name val="Arial"/>
      <family val="0"/>
      <charset val="1"/>
    </font>
    <font>
      <b val="true"/>
      <sz val="12"/>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92D050"/>
        <bgColor rgb="FFBFBFBF"/>
      </patternFill>
    </fill>
    <fill>
      <patternFill patternType="solid">
        <fgColor rgb="FFF8CBAD"/>
        <bgColor rgb="FFBFBFB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top" textRotation="0" wrapText="true" indent="0" shrinkToFit="false"/>
      <protection locked="true" hidden="false"/>
    </xf>
    <xf numFmtId="164" fontId="5" fillId="0" borderId="0" xfId="0" applyFont="true" applyBorder="false" applyAlignment="true" applyProtection="false">
      <alignment horizontal="right" vertical="top" textRotation="0" wrapText="true" indent="0" shrinkToFit="false"/>
      <protection locked="true" hidden="false"/>
    </xf>
    <xf numFmtId="164" fontId="6" fillId="0" borderId="0" xfId="0" applyFont="true" applyBorder="false" applyAlignment="true" applyProtection="false">
      <alignment horizontal="right"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true" indent="0" shrinkToFit="false"/>
      <protection locked="true" hidden="false"/>
    </xf>
    <xf numFmtId="164" fontId="8" fillId="0" borderId="0" xfId="0" applyFont="true" applyBorder="false" applyAlignment="true" applyProtection="false">
      <alignment horizontal="right" vertical="top" textRotation="0" wrapText="true" indent="0" shrinkToFit="false"/>
      <protection locked="true" hidden="false"/>
    </xf>
    <xf numFmtId="164" fontId="9" fillId="0" borderId="0" xfId="0" applyFont="true" applyBorder="false" applyAlignment="true" applyProtection="false">
      <alignment horizontal="right"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right" vertical="top" textRotation="0" wrapText="true" indent="0" shrinkToFit="false"/>
      <protection locked="true" hidden="false"/>
    </xf>
    <xf numFmtId="164" fontId="11" fillId="2" borderId="1" xfId="0" applyFont="true" applyBorder="true" applyAlignment="true" applyProtection="false">
      <alignment horizontal="right" vertical="top" textRotation="0" wrapText="true" indent="0" shrinkToFit="false"/>
      <protection locked="true" hidden="false"/>
    </xf>
    <xf numFmtId="164" fontId="7" fillId="3" borderId="1" xfId="0" applyFont="true" applyBorder="true" applyAlignment="true" applyProtection="false">
      <alignment horizontal="right" vertical="top" textRotation="0" wrapText="true" indent="0" shrinkToFit="false"/>
      <protection locked="true" hidden="false"/>
    </xf>
    <xf numFmtId="164" fontId="7" fillId="0" borderId="1" xfId="0" applyFont="true" applyBorder="true" applyAlignment="true" applyProtection="false">
      <alignment horizontal="right" vertical="top" textRotation="0" wrapText="true" indent="0" shrinkToFit="false"/>
      <protection locked="true" hidden="false"/>
    </xf>
    <xf numFmtId="165" fontId="7" fillId="0" borderId="1" xfId="0" applyFont="true" applyBorder="true" applyAlignment="true" applyProtection="false">
      <alignment horizontal="right" vertical="top" textRotation="0" wrapText="true" indent="0" shrinkToFit="false"/>
      <protection locked="true" hidden="false"/>
    </xf>
    <xf numFmtId="166" fontId="7" fillId="0" borderId="1" xfId="0" applyFont="true" applyBorder="true" applyAlignment="true" applyProtection="false">
      <alignment horizontal="right" vertical="top" textRotation="0" wrapText="true" indent="0" shrinkToFit="false"/>
      <protection locked="true" hidden="false"/>
    </xf>
    <xf numFmtId="167" fontId="7" fillId="0" borderId="1" xfId="0" applyFont="true" applyBorder="true" applyAlignment="true" applyProtection="false">
      <alignment horizontal="right"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righ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
    <dxf>
      <fill>
        <patternFill patternType="solid">
          <fgColor rgb="FF1F3864"/>
          <bgColor rgb="FF000000"/>
        </patternFill>
      </fill>
    </dxf>
    <dxf>
      <fill>
        <patternFill patternType="solid">
          <fgColor rgb="FF92D050"/>
          <bgColor rgb="FF000000"/>
        </patternFill>
      </fill>
    </dxf>
    <dxf>
      <fill>
        <patternFill patternType="solid">
          <fgColor rgb="FFFFFFFF"/>
          <bgColor rgb="FF000000"/>
        </patternFill>
      </fill>
    </dxf>
    <dxf>
      <fill>
        <patternFill patternType="solid">
          <bgColor rgb="FF000000"/>
        </patternFill>
      </fill>
    </dxf>
    <dxf>
      <fill>
        <patternFill patternType="solid">
          <fgColor rgb="FF63BE7B"/>
          <bgColor rgb="FF000000"/>
        </patternFill>
      </fill>
    </dxf>
    <dxf>
      <fill>
        <patternFill patternType="solid">
          <fgColor rgb="FF6BC282"/>
          <bgColor rgb="FF000000"/>
        </patternFill>
      </fill>
    </dxf>
    <dxf>
      <fill>
        <patternFill patternType="solid">
          <fgColor rgb="FF7AC88E"/>
          <bgColor rgb="FF000000"/>
        </patternFill>
      </fill>
    </dxf>
    <dxf>
      <fill>
        <patternFill patternType="solid">
          <fgColor rgb="FF89CE9B"/>
          <bgColor rgb="FF000000"/>
        </patternFill>
      </fill>
    </dxf>
    <dxf>
      <fill>
        <patternFill patternType="solid">
          <fgColor rgb="FF97D4A7"/>
          <bgColor rgb="FF000000"/>
        </patternFill>
      </fill>
    </dxf>
    <dxf>
      <fill>
        <patternFill patternType="solid">
          <fgColor rgb="FFA6DAB4"/>
          <bgColor rgb="FF000000"/>
        </patternFill>
      </fill>
    </dxf>
    <dxf>
      <fill>
        <patternFill patternType="solid">
          <fgColor rgb="FFB5E1C1"/>
          <bgColor rgb="FF000000"/>
        </patternFill>
      </fill>
    </dxf>
    <dxf>
      <fill>
        <patternFill patternType="solid">
          <fgColor rgb="FFC4E7CD"/>
          <bgColor rgb="FF000000"/>
        </patternFill>
      </fill>
    </dxf>
    <dxf>
      <fill>
        <patternFill patternType="solid">
          <fgColor rgb="FFCBEAD3"/>
          <bgColor rgb="FF000000"/>
        </patternFill>
      </fill>
    </dxf>
    <dxf>
      <fill>
        <patternFill patternType="solid">
          <fgColor rgb="FFD3EDDA"/>
          <bgColor rgb="FF000000"/>
        </patternFill>
      </fill>
    </dxf>
    <dxf>
      <fill>
        <patternFill patternType="solid">
          <fgColor rgb="FFDAF0E0"/>
          <bgColor rgb="FF000000"/>
        </patternFill>
      </fill>
    </dxf>
    <dxf>
      <fill>
        <patternFill patternType="solid">
          <fgColor rgb="FFE2F3E6"/>
          <bgColor rgb="FF000000"/>
        </patternFill>
      </fill>
    </dxf>
    <dxf>
      <fill>
        <patternFill patternType="solid">
          <fgColor rgb="FFE9F6ED"/>
          <bgColor rgb="FF000000"/>
        </patternFill>
      </fill>
    </dxf>
    <dxf>
      <fill>
        <patternFill patternType="solid">
          <fgColor rgb="FFF1F9F3"/>
          <bgColor rgb="FF000000"/>
        </patternFill>
      </fill>
    </dxf>
    <dxf>
      <fill>
        <patternFill patternType="solid">
          <fgColor rgb="FFF8FCF9"/>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2D05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A18"/>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0" width="120"/>
  </cols>
  <sheetData>
    <row r="1" customFormat="false" ht="18" hidden="false" customHeight="true" outlineLevel="0" collapsed="false">
      <c r="A1" s="1" t="s">
        <v>0</v>
      </c>
    </row>
    <row r="2" customFormat="false" ht="25.5" hidden="false" customHeight="true" outlineLevel="0" collapsed="false">
      <c r="A2" s="2" t="s">
        <v>1</v>
      </c>
    </row>
    <row r="3" customFormat="false" ht="14.25" hidden="false" customHeight="false" outlineLevel="0" collapsed="false">
      <c r="A3" s="3" t="s">
        <v>2</v>
      </c>
    </row>
    <row r="5" customFormat="false" ht="14.25" hidden="false" customHeight="false" outlineLevel="0" collapsed="false">
      <c r="A5" s="4" t="s">
        <v>3</v>
      </c>
    </row>
    <row r="6" customFormat="false" ht="14.25" hidden="false" customHeight="false" outlineLevel="0" collapsed="false">
      <c r="A6" s="4"/>
    </row>
    <row r="7" customFormat="false" ht="14.25" hidden="false" customHeight="false" outlineLevel="0" collapsed="false">
      <c r="A7" s="5" t="s">
        <v>4</v>
      </c>
    </row>
    <row r="8" customFormat="false" ht="14.25" hidden="false" customHeight="false" outlineLevel="0" collapsed="false">
      <c r="A8" s="4" t="s">
        <v>5</v>
      </c>
    </row>
    <row r="9" customFormat="false" ht="14.25" hidden="false" customHeight="false" outlineLevel="0" collapsed="false">
      <c r="A9" s="4" t="s">
        <v>6</v>
      </c>
    </row>
    <row r="10" customFormat="false" ht="14.25" hidden="false" customHeight="false" outlineLevel="0" collapsed="false">
      <c r="A10" s="4" t="s">
        <v>7</v>
      </c>
    </row>
    <row r="11" customFormat="false" ht="14.25" hidden="false" customHeight="false" outlineLevel="0" collapsed="false">
      <c r="A11" s="4" t="s">
        <v>8</v>
      </c>
    </row>
    <row r="12" customFormat="false" ht="14.25" hidden="false" customHeight="false" outlineLevel="0" collapsed="false">
      <c r="A12" s="4" t="s">
        <v>9</v>
      </c>
    </row>
    <row r="13" customFormat="false" ht="14.25" hidden="false" customHeight="false" outlineLevel="0" collapsed="false">
      <c r="A13" s="4"/>
    </row>
    <row r="14" customFormat="false" ht="24.75" hidden="false" customHeight="true" outlineLevel="0" collapsed="false">
      <c r="A14" s="4" t="s">
        <v>10</v>
      </c>
    </row>
    <row r="15" customFormat="false" ht="14.25" hidden="false" customHeight="false" outlineLevel="0" collapsed="false">
      <c r="A15" s="4" t="s">
        <v>11</v>
      </c>
    </row>
    <row r="16" customFormat="false" ht="14.25" hidden="false" customHeight="false" outlineLevel="0" collapsed="false">
      <c r="A16" s="4" t="s">
        <v>12</v>
      </c>
    </row>
    <row r="17" customFormat="false" ht="14.25" hidden="false" customHeight="false" outlineLevel="0" collapsed="false">
      <c r="A17" s="4"/>
    </row>
    <row r="18" customFormat="false" ht="14.25" hidden="false" customHeight="false" outlineLevel="0" collapsed="false">
      <c r="A18" s="6"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K41"/>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pane xSplit="0" ySplit="4" topLeftCell="A47" activePane="bottomLeft" state="frozen"/>
      <selection pane="topLeft" activeCell="A1" activeCellId="0" sqref="A1"/>
      <selection pane="bottomLeft" activeCell="B49" activeCellId="0" sqref="B49"/>
    </sheetView>
  </sheetViews>
  <sheetFormatPr defaultColWidth="8.6328125" defaultRowHeight="14.25" zeroHeight="false" outlineLevelRow="0" outlineLevelCol="0"/>
  <cols>
    <col collapsed="false" customWidth="true" hidden="false" outlineLevel="0" max="1" min="1" style="0" width="28"/>
    <col collapsed="false" customWidth="true" hidden="false" outlineLevel="0" max="2" min="2" style="0" width="20"/>
    <col collapsed="false" customWidth="true" hidden="false" outlineLevel="0" max="3" min="3" style="0" width="12"/>
    <col collapsed="false" customWidth="true" hidden="false" outlineLevel="0" max="7" min="4" style="0" width="10"/>
    <col collapsed="false" customWidth="true" hidden="false" outlineLevel="0" max="10" min="8" style="0" width="12"/>
    <col collapsed="false" customWidth="true" hidden="false" outlineLevel="0" max="11" min="11" style="0" width="16"/>
  </cols>
  <sheetData>
    <row r="1" customFormat="false" ht="18" hidden="false" customHeight="true" outlineLevel="0" collapsed="false">
      <c r="A1" s="7" t="s">
        <v>14</v>
      </c>
    </row>
    <row r="2" customFormat="false" ht="45" hidden="false" customHeight="true" outlineLevel="0" collapsed="false">
      <c r="A2" s="8" t="s">
        <v>15</v>
      </c>
      <c r="B2" s="8"/>
      <c r="C2" s="8"/>
      <c r="D2" s="8"/>
      <c r="E2" s="8"/>
      <c r="F2" s="8"/>
      <c r="G2" s="8"/>
      <c r="H2" s="8"/>
      <c r="I2" s="8"/>
      <c r="J2" s="8"/>
      <c r="K2" s="8"/>
    </row>
    <row r="4" customFormat="false" ht="42" hidden="false" customHeight="true" outlineLevel="0" collapsed="false">
      <c r="A4" s="9" t="s">
        <v>16</v>
      </c>
      <c r="B4" s="9" t="s">
        <v>17</v>
      </c>
      <c r="C4" s="9" t="s">
        <v>18</v>
      </c>
      <c r="D4" s="9" t="s">
        <v>19</v>
      </c>
      <c r="E4" s="9" t="s">
        <v>20</v>
      </c>
      <c r="F4" s="9" t="s">
        <v>21</v>
      </c>
      <c r="G4" s="9" t="s">
        <v>22</v>
      </c>
      <c r="H4" s="9" t="s">
        <v>23</v>
      </c>
      <c r="I4" s="9" t="s">
        <v>24</v>
      </c>
      <c r="J4" s="9" t="s">
        <v>25</v>
      </c>
      <c r="K4" s="9" t="s">
        <v>26</v>
      </c>
    </row>
    <row r="5" customFormat="false" ht="14.25" hidden="false" customHeight="false" outlineLevel="0" collapsed="false">
      <c r="A5" s="10" t="s">
        <v>27</v>
      </c>
      <c r="B5" s="11" t="s">
        <v>28</v>
      </c>
      <c r="C5" s="11" t="s">
        <v>29</v>
      </c>
      <c r="D5" s="12" t="n">
        <v>5500</v>
      </c>
      <c r="E5" s="11" t="s">
        <v>30</v>
      </c>
      <c r="F5" s="11" t="s">
        <v>30</v>
      </c>
      <c r="G5" s="11" t="s">
        <v>31</v>
      </c>
      <c r="H5" s="13" t="n">
        <v>0.05</v>
      </c>
      <c r="I5" s="14" t="n">
        <v>1.18</v>
      </c>
      <c r="J5" s="14" t="n">
        <v>5.86</v>
      </c>
      <c r="K5" s="11" t="s">
        <v>32</v>
      </c>
    </row>
    <row r="6" customFormat="false" ht="14.25" hidden="false" customHeight="false" outlineLevel="0" collapsed="false">
      <c r="A6" s="10" t="s">
        <v>33</v>
      </c>
      <c r="B6" s="11" t="s">
        <v>34</v>
      </c>
      <c r="C6" s="11" t="s">
        <v>29</v>
      </c>
      <c r="D6" s="12" t="n">
        <v>5500</v>
      </c>
      <c r="E6" s="11" t="s">
        <v>30</v>
      </c>
      <c r="F6" s="11" t="s">
        <v>30</v>
      </c>
      <c r="G6" s="11" t="s">
        <v>35</v>
      </c>
      <c r="H6" s="13" t="n">
        <v>0.05</v>
      </c>
      <c r="I6" s="14"/>
      <c r="J6" s="14"/>
      <c r="K6" s="11" t="s">
        <v>32</v>
      </c>
    </row>
    <row r="7" customFormat="false" ht="14.25" hidden="false" customHeight="false" outlineLevel="0" collapsed="false">
      <c r="A7" s="10" t="s">
        <v>36</v>
      </c>
      <c r="B7" s="11" t="s">
        <v>28</v>
      </c>
      <c r="C7" s="11" t="s">
        <v>29</v>
      </c>
      <c r="D7" s="12" t="n">
        <v>5500</v>
      </c>
      <c r="E7" s="11" t="s">
        <v>30</v>
      </c>
      <c r="F7" s="11" t="s">
        <v>30</v>
      </c>
      <c r="G7" s="11" t="s">
        <v>31</v>
      </c>
      <c r="H7" s="13" t="n">
        <v>0.04</v>
      </c>
      <c r="I7" s="14" t="n">
        <v>1.37</v>
      </c>
      <c r="J7" s="14" t="n">
        <v>5.78</v>
      </c>
      <c r="K7" s="11" t="s">
        <v>32</v>
      </c>
    </row>
    <row r="8" customFormat="false" ht="14.25" hidden="false" customHeight="false" outlineLevel="0" collapsed="false">
      <c r="A8" s="10" t="s">
        <v>37</v>
      </c>
      <c r="B8" s="11" t="s">
        <v>38</v>
      </c>
      <c r="C8" s="11" t="s">
        <v>29</v>
      </c>
      <c r="D8" s="12" t="n">
        <v>5500</v>
      </c>
      <c r="E8" s="11" t="s">
        <v>30</v>
      </c>
      <c r="F8" s="11" t="s">
        <v>30</v>
      </c>
      <c r="G8" s="11" t="s">
        <v>31</v>
      </c>
      <c r="H8" s="13" t="n">
        <v>0.04</v>
      </c>
      <c r="I8" s="14" t="n">
        <v>1.39</v>
      </c>
      <c r="J8" s="14" t="n">
        <v>5</v>
      </c>
      <c r="K8" s="11" t="s">
        <v>32</v>
      </c>
    </row>
    <row r="9" customFormat="false" ht="14.25" hidden="false" customHeight="false" outlineLevel="0" collapsed="false">
      <c r="A9" s="10" t="s">
        <v>39</v>
      </c>
      <c r="B9" s="11" t="s">
        <v>40</v>
      </c>
      <c r="C9" s="11" t="s">
        <v>29</v>
      </c>
      <c r="D9" s="12" t="n">
        <v>5500</v>
      </c>
      <c r="E9" s="11" t="s">
        <v>30</v>
      </c>
      <c r="F9" s="11" t="s">
        <v>30</v>
      </c>
      <c r="G9" s="11" t="s">
        <v>35</v>
      </c>
      <c r="H9" s="13" t="n">
        <v>0.03</v>
      </c>
      <c r="I9" s="14" t="n">
        <v>0.88</v>
      </c>
      <c r="J9" s="14" t="n">
        <v>4.24</v>
      </c>
      <c r="K9" s="11" t="s">
        <v>32</v>
      </c>
    </row>
    <row r="10" customFormat="false" ht="14.25" hidden="false" customHeight="false" outlineLevel="0" collapsed="false">
      <c r="A10" s="10" t="s">
        <v>41</v>
      </c>
      <c r="B10" s="11" t="s">
        <v>34</v>
      </c>
      <c r="C10" s="11" t="s">
        <v>29</v>
      </c>
      <c r="D10" s="12" t="n">
        <v>5500</v>
      </c>
      <c r="E10" s="11" t="s">
        <v>30</v>
      </c>
      <c r="F10" s="11" t="s">
        <v>30</v>
      </c>
      <c r="G10" s="11" t="s">
        <v>35</v>
      </c>
      <c r="H10" s="13" t="n">
        <v>0.02</v>
      </c>
      <c r="I10" s="14" t="n">
        <v>1.71</v>
      </c>
      <c r="J10" s="14" t="n">
        <v>4.85</v>
      </c>
      <c r="K10" s="11" t="s">
        <v>32</v>
      </c>
    </row>
    <row r="11" customFormat="false" ht="14.25" hidden="false" customHeight="false" outlineLevel="0" collapsed="false">
      <c r="A11" s="10" t="s">
        <v>42</v>
      </c>
      <c r="B11" s="11" t="s">
        <v>38</v>
      </c>
      <c r="C11" s="11" t="s">
        <v>29</v>
      </c>
      <c r="D11" s="12" t="n">
        <v>5500</v>
      </c>
      <c r="E11" s="11" t="s">
        <v>30</v>
      </c>
      <c r="F11" s="11" t="s">
        <v>30</v>
      </c>
      <c r="G11" s="11" t="s">
        <v>35</v>
      </c>
      <c r="H11" s="13" t="n">
        <v>0.02</v>
      </c>
      <c r="I11" s="14" t="n">
        <v>1.34</v>
      </c>
      <c r="J11" s="14" t="n">
        <v>4.86</v>
      </c>
      <c r="K11" s="11" t="s">
        <v>32</v>
      </c>
    </row>
    <row r="12" customFormat="false" ht="14.25" hidden="false" customHeight="false" outlineLevel="0" collapsed="false">
      <c r="A12" s="10" t="s">
        <v>43</v>
      </c>
      <c r="B12" s="11" t="s">
        <v>34</v>
      </c>
      <c r="C12" s="11" t="s">
        <v>29</v>
      </c>
      <c r="D12" s="12" t="n">
        <v>5500</v>
      </c>
      <c r="E12" s="11" t="s">
        <v>44</v>
      </c>
      <c r="F12" s="11" t="s">
        <v>30</v>
      </c>
      <c r="G12" s="11" t="s">
        <v>35</v>
      </c>
      <c r="H12" s="13" t="n">
        <v>0.01</v>
      </c>
      <c r="I12" s="14" t="n">
        <v>1.32</v>
      </c>
      <c r="J12" s="14" t="n">
        <v>4.87</v>
      </c>
      <c r="K12" s="11" t="s">
        <v>32</v>
      </c>
    </row>
    <row r="13" customFormat="false" ht="14.25" hidden="false" customHeight="false" outlineLevel="0" collapsed="false">
      <c r="A13" s="10" t="s">
        <v>45</v>
      </c>
      <c r="B13" s="11" t="s">
        <v>38</v>
      </c>
      <c r="C13" s="11" t="s">
        <v>29</v>
      </c>
      <c r="D13" s="12" t="n">
        <v>5500</v>
      </c>
      <c r="E13" s="11" t="s">
        <v>30</v>
      </c>
      <c r="F13" s="11" t="s">
        <v>30</v>
      </c>
      <c r="G13" s="11" t="s">
        <v>35</v>
      </c>
      <c r="H13" s="13"/>
      <c r="I13" s="14" t="n">
        <v>2</v>
      </c>
      <c r="J13" s="14" t="n">
        <v>6.98</v>
      </c>
      <c r="K13" s="11" t="s">
        <v>32</v>
      </c>
    </row>
    <row r="14" customFormat="false" ht="14.25" hidden="false" customHeight="false" outlineLevel="0" collapsed="false">
      <c r="A14" s="10" t="s">
        <v>46</v>
      </c>
      <c r="B14" s="11" t="s">
        <v>34</v>
      </c>
      <c r="C14" s="11" t="s">
        <v>47</v>
      </c>
      <c r="D14" s="12" t="n">
        <v>55000</v>
      </c>
      <c r="E14" s="11" t="s">
        <v>30</v>
      </c>
      <c r="F14" s="11" t="s">
        <v>30</v>
      </c>
      <c r="G14" s="11" t="s">
        <v>35</v>
      </c>
      <c r="H14" s="13" t="n">
        <v>0.06</v>
      </c>
      <c r="I14" s="14" t="n">
        <v>1.56</v>
      </c>
      <c r="J14" s="14" t="n">
        <v>5.71</v>
      </c>
      <c r="K14" s="11" t="s">
        <v>32</v>
      </c>
    </row>
    <row r="15" customFormat="false" ht="14.25" hidden="false" customHeight="false" outlineLevel="0" collapsed="false">
      <c r="A15" s="10" t="s">
        <v>48</v>
      </c>
      <c r="B15" s="11" t="s">
        <v>49</v>
      </c>
      <c r="C15" s="11" t="s">
        <v>50</v>
      </c>
      <c r="D15" s="12" t="n">
        <v>550</v>
      </c>
      <c r="E15" s="11" t="s">
        <v>30</v>
      </c>
      <c r="F15" s="11" t="s">
        <v>30</v>
      </c>
      <c r="G15" s="11" t="s">
        <v>31</v>
      </c>
      <c r="H15" s="13" t="n">
        <v>0.21</v>
      </c>
      <c r="I15" s="14" t="n">
        <v>1.37</v>
      </c>
      <c r="J15" s="14" t="n">
        <v>5.46</v>
      </c>
      <c r="K15" s="11" t="s">
        <v>32</v>
      </c>
    </row>
    <row r="16" customFormat="false" ht="14.25" hidden="false" customHeight="false" outlineLevel="0" collapsed="false">
      <c r="A16" s="10" t="s">
        <v>51</v>
      </c>
      <c r="B16" s="11" t="s">
        <v>28</v>
      </c>
      <c r="C16" s="11" t="s">
        <v>50</v>
      </c>
      <c r="D16" s="12" t="n">
        <v>550</v>
      </c>
      <c r="E16" s="11" t="s">
        <v>30</v>
      </c>
      <c r="F16" s="11" t="s">
        <v>52</v>
      </c>
      <c r="G16" s="11" t="s">
        <v>31</v>
      </c>
      <c r="H16" s="13" t="n">
        <v>0.14</v>
      </c>
      <c r="I16" s="14" t="n">
        <v>2.52</v>
      </c>
      <c r="J16" s="14" t="n">
        <v>7.55</v>
      </c>
      <c r="K16" s="11" t="s">
        <v>32</v>
      </c>
    </row>
    <row r="17" customFormat="false" ht="14.25" hidden="false" customHeight="false" outlineLevel="0" collapsed="false">
      <c r="A17" s="10" t="s">
        <v>53</v>
      </c>
      <c r="B17" s="11" t="s">
        <v>34</v>
      </c>
      <c r="C17" s="11" t="s">
        <v>50</v>
      </c>
      <c r="D17" s="12" t="n">
        <v>550</v>
      </c>
      <c r="E17" s="11" t="s">
        <v>30</v>
      </c>
      <c r="F17" s="11" t="s">
        <v>30</v>
      </c>
      <c r="G17" s="11" t="s">
        <v>35</v>
      </c>
      <c r="H17" s="13" t="n">
        <v>0.07</v>
      </c>
      <c r="I17" s="14" t="n">
        <v>1.69</v>
      </c>
      <c r="J17" s="14" t="n">
        <v>6.72</v>
      </c>
      <c r="K17" s="11" t="s">
        <v>32</v>
      </c>
    </row>
    <row r="18" customFormat="false" ht="14.25" hidden="false" customHeight="false" outlineLevel="0" collapsed="false">
      <c r="A18" s="10" t="s">
        <v>54</v>
      </c>
      <c r="B18" s="11" t="s">
        <v>38</v>
      </c>
      <c r="C18" s="11" t="s">
        <v>50</v>
      </c>
      <c r="D18" s="12" t="n">
        <v>550</v>
      </c>
      <c r="E18" s="11" t="s">
        <v>30</v>
      </c>
      <c r="F18" s="11" t="s">
        <v>30</v>
      </c>
      <c r="G18" s="11" t="s">
        <v>35</v>
      </c>
      <c r="H18" s="13" t="n">
        <v>0.05</v>
      </c>
      <c r="I18" s="14" t="n">
        <v>0.91</v>
      </c>
      <c r="J18" s="14" t="n">
        <v>2.77</v>
      </c>
      <c r="K18" s="11" t="s">
        <v>32</v>
      </c>
    </row>
    <row r="19" customFormat="false" ht="14.25" hidden="false" customHeight="false" outlineLevel="0" collapsed="false">
      <c r="A19" s="10" t="s">
        <v>55</v>
      </c>
      <c r="B19" s="11" t="s">
        <v>28</v>
      </c>
      <c r="C19" s="11" t="s">
        <v>50</v>
      </c>
      <c r="D19" s="12" t="n">
        <v>550</v>
      </c>
      <c r="E19" s="11" t="s">
        <v>30</v>
      </c>
      <c r="F19" s="11" t="s">
        <v>30</v>
      </c>
      <c r="G19" s="11" t="s">
        <v>31</v>
      </c>
      <c r="H19" s="13" t="n">
        <v>0.04</v>
      </c>
      <c r="I19" s="14" t="n">
        <v>2.03</v>
      </c>
      <c r="J19" s="14" t="n">
        <v>7.51</v>
      </c>
      <c r="K19" s="11" t="s">
        <v>32</v>
      </c>
    </row>
    <row r="20" customFormat="false" ht="14.25" hidden="false" customHeight="false" outlineLevel="0" collapsed="false">
      <c r="A20" s="10" t="s">
        <v>56</v>
      </c>
      <c r="B20" s="11" t="s">
        <v>40</v>
      </c>
      <c r="C20" s="11" t="s">
        <v>50</v>
      </c>
      <c r="D20" s="12" t="n">
        <v>550</v>
      </c>
      <c r="E20" s="11" t="s">
        <v>30</v>
      </c>
      <c r="F20" s="11" t="s">
        <v>44</v>
      </c>
      <c r="G20" s="11" t="s">
        <v>35</v>
      </c>
      <c r="H20" s="13" t="n">
        <v>0.03</v>
      </c>
      <c r="I20" s="14" t="n">
        <v>0.99</v>
      </c>
      <c r="J20" s="14" t="n">
        <v>4.87</v>
      </c>
      <c r="K20" s="11" t="s">
        <v>32</v>
      </c>
    </row>
    <row r="21" customFormat="false" ht="14.25" hidden="false" customHeight="false" outlineLevel="0" collapsed="false">
      <c r="A21" s="10" t="s">
        <v>57</v>
      </c>
      <c r="B21" s="11" t="s">
        <v>34</v>
      </c>
      <c r="C21" s="11" t="s">
        <v>50</v>
      </c>
      <c r="D21" s="12" t="n">
        <v>550</v>
      </c>
      <c r="E21" s="11" t="s">
        <v>30</v>
      </c>
      <c r="F21" s="11" t="s">
        <v>30</v>
      </c>
      <c r="G21" s="11" t="s">
        <v>31</v>
      </c>
      <c r="H21" s="13" t="n">
        <v>0.02</v>
      </c>
      <c r="I21" s="14" t="n">
        <v>1.67</v>
      </c>
      <c r="J21" s="14" t="n">
        <v>4.28</v>
      </c>
      <c r="K21" s="11" t="s">
        <v>32</v>
      </c>
    </row>
    <row r="22" customFormat="false" ht="14.25" hidden="false" customHeight="false" outlineLevel="0" collapsed="false">
      <c r="A22" s="10" t="s">
        <v>58</v>
      </c>
      <c r="B22" s="11" t="s">
        <v>34</v>
      </c>
      <c r="C22" s="11" t="s">
        <v>59</v>
      </c>
      <c r="D22" s="12" t="n">
        <v>55</v>
      </c>
      <c r="E22" s="11" t="s">
        <v>30</v>
      </c>
      <c r="F22" s="11" t="s">
        <v>52</v>
      </c>
      <c r="G22" s="11" t="s">
        <v>31</v>
      </c>
      <c r="H22" s="13" t="n">
        <v>0.2</v>
      </c>
      <c r="I22" s="14" t="n">
        <v>2.92</v>
      </c>
      <c r="J22" s="14" t="n">
        <v>5.99</v>
      </c>
      <c r="K22" s="11" t="s">
        <v>32</v>
      </c>
    </row>
    <row r="23" customFormat="false" ht="14.25" hidden="false" customHeight="false" outlineLevel="0" collapsed="false">
      <c r="A23" s="10" t="s">
        <v>60</v>
      </c>
      <c r="B23" s="11" t="s">
        <v>61</v>
      </c>
      <c r="C23" s="11" t="s">
        <v>59</v>
      </c>
      <c r="D23" s="12" t="n">
        <v>55</v>
      </c>
      <c r="E23" s="11" t="s">
        <v>30</v>
      </c>
      <c r="F23" s="11" t="s">
        <v>30</v>
      </c>
      <c r="G23" s="11" t="s">
        <v>31</v>
      </c>
      <c r="H23" s="13" t="n">
        <v>0.18</v>
      </c>
      <c r="I23" s="14"/>
      <c r="J23" s="14"/>
      <c r="K23" s="11" t="s">
        <v>32</v>
      </c>
    </row>
    <row r="24" customFormat="false" ht="14.25" hidden="false" customHeight="false" outlineLevel="0" collapsed="false">
      <c r="A24" s="10" t="s">
        <v>62</v>
      </c>
      <c r="B24" s="11" t="s">
        <v>61</v>
      </c>
      <c r="C24" s="11" t="s">
        <v>59</v>
      </c>
      <c r="D24" s="12" t="n">
        <v>55</v>
      </c>
      <c r="E24" s="11" t="s">
        <v>52</v>
      </c>
      <c r="F24" s="11" t="s">
        <v>52</v>
      </c>
      <c r="G24" s="11" t="s">
        <v>31</v>
      </c>
      <c r="H24" s="13" t="n">
        <v>0.16</v>
      </c>
      <c r="I24" s="14"/>
      <c r="J24" s="14"/>
      <c r="K24" s="11" t="s">
        <v>32</v>
      </c>
    </row>
    <row r="25" customFormat="false" ht="14.25" hidden="false" customHeight="false" outlineLevel="0" collapsed="false">
      <c r="A25" s="10" t="s">
        <v>63</v>
      </c>
      <c r="B25" s="11" t="s">
        <v>34</v>
      </c>
      <c r="C25" s="11" t="s">
        <v>59</v>
      </c>
      <c r="D25" s="12" t="n">
        <v>55</v>
      </c>
      <c r="E25" s="11" t="s">
        <v>30</v>
      </c>
      <c r="F25" s="11" t="s">
        <v>30</v>
      </c>
      <c r="G25" s="11" t="s">
        <v>64</v>
      </c>
      <c r="H25" s="13" t="n">
        <v>0.12</v>
      </c>
      <c r="I25" s="14" t="n">
        <v>1.11</v>
      </c>
      <c r="J25" s="14" t="n">
        <v>4.87</v>
      </c>
      <c r="K25" s="11" t="s">
        <v>32</v>
      </c>
    </row>
    <row r="26" customFormat="false" ht="14.25" hidden="false" customHeight="false" outlineLevel="0" collapsed="false">
      <c r="A26" s="10" t="s">
        <v>65</v>
      </c>
      <c r="B26" s="11" t="s">
        <v>61</v>
      </c>
      <c r="C26" s="11" t="s">
        <v>59</v>
      </c>
      <c r="D26" s="12" t="n">
        <v>55</v>
      </c>
      <c r="E26" s="11" t="s">
        <v>30</v>
      </c>
      <c r="F26" s="11" t="s">
        <v>30</v>
      </c>
      <c r="G26" s="11" t="s">
        <v>31</v>
      </c>
      <c r="H26" s="13" t="n">
        <v>0.12</v>
      </c>
      <c r="I26" s="14" t="n">
        <v>2.23</v>
      </c>
      <c r="J26" s="14" t="n">
        <v>5.69</v>
      </c>
      <c r="K26" s="11" t="s">
        <v>32</v>
      </c>
    </row>
    <row r="27" customFormat="false" ht="14.25" hidden="false" customHeight="false" outlineLevel="0" collapsed="false">
      <c r="A27" s="10" t="s">
        <v>66</v>
      </c>
      <c r="B27" s="11" t="s">
        <v>61</v>
      </c>
      <c r="C27" s="11" t="s">
        <v>59</v>
      </c>
      <c r="D27" s="12" t="n">
        <v>55</v>
      </c>
      <c r="E27" s="11" t="s">
        <v>30</v>
      </c>
      <c r="F27" s="11" t="s">
        <v>30</v>
      </c>
      <c r="G27" s="11" t="s">
        <v>31</v>
      </c>
      <c r="H27" s="13" t="n">
        <v>0.1</v>
      </c>
      <c r="I27" s="14"/>
      <c r="J27" s="14"/>
      <c r="K27" s="11" t="s">
        <v>32</v>
      </c>
    </row>
    <row r="28" customFormat="false" ht="14.25" hidden="false" customHeight="false" outlineLevel="0" collapsed="false">
      <c r="A28" s="10" t="s">
        <v>67</v>
      </c>
      <c r="B28" s="11" t="s">
        <v>68</v>
      </c>
      <c r="C28" s="11" t="s">
        <v>59</v>
      </c>
      <c r="D28" s="12" t="n">
        <v>55</v>
      </c>
      <c r="E28" s="11" t="s">
        <v>30</v>
      </c>
      <c r="F28" s="11" t="s">
        <v>52</v>
      </c>
      <c r="G28" s="11" t="s">
        <v>31</v>
      </c>
      <c r="H28" s="13" t="n">
        <v>0.1</v>
      </c>
      <c r="I28" s="14" t="n">
        <v>0.94</v>
      </c>
      <c r="J28" s="14" t="n">
        <v>4.87</v>
      </c>
      <c r="K28" s="11" t="s">
        <v>32</v>
      </c>
    </row>
    <row r="29" customFormat="false" ht="14.25" hidden="false" customHeight="false" outlineLevel="0" collapsed="false">
      <c r="A29" s="10" t="s">
        <v>69</v>
      </c>
      <c r="B29" s="11" t="s">
        <v>34</v>
      </c>
      <c r="C29" s="11" t="s">
        <v>59</v>
      </c>
      <c r="D29" s="12" t="n">
        <v>55</v>
      </c>
      <c r="E29" s="11" t="s">
        <v>30</v>
      </c>
      <c r="F29" s="11" t="s">
        <v>30</v>
      </c>
      <c r="G29" s="11" t="s">
        <v>64</v>
      </c>
      <c r="H29" s="13" t="n">
        <v>0.08</v>
      </c>
      <c r="I29" s="14" t="n">
        <v>1.37</v>
      </c>
      <c r="J29" s="14" t="n">
        <v>5</v>
      </c>
      <c r="K29" s="11" t="s">
        <v>32</v>
      </c>
    </row>
    <row r="30" customFormat="false" ht="14.25" hidden="false" customHeight="false" outlineLevel="0" collapsed="false">
      <c r="A30" s="10" t="s">
        <v>70</v>
      </c>
      <c r="B30" s="11" t="s">
        <v>61</v>
      </c>
      <c r="C30" s="11" t="s">
        <v>59</v>
      </c>
      <c r="D30" s="12" t="n">
        <v>55</v>
      </c>
      <c r="E30" s="11" t="s">
        <v>30</v>
      </c>
      <c r="F30" s="11" t="s">
        <v>30</v>
      </c>
      <c r="G30" s="11" t="s">
        <v>35</v>
      </c>
      <c r="H30" s="13" t="n">
        <v>0.08</v>
      </c>
      <c r="I30" s="14"/>
      <c r="J30" s="14"/>
      <c r="K30" s="11" t="s">
        <v>32</v>
      </c>
    </row>
    <row r="32" customFormat="false" ht="14.25" hidden="false" customHeight="false" outlineLevel="0" collapsed="false">
      <c r="A32" s="15" t="s">
        <v>71</v>
      </c>
    </row>
    <row r="33" customFormat="false" ht="14.25" hidden="false" customHeight="false" outlineLevel="0" collapsed="false">
      <c r="A33" s="16" t="s">
        <v>72</v>
      </c>
      <c r="B33" s="16" t="s">
        <v>73</v>
      </c>
      <c r="C33" s="16" t="s">
        <v>74</v>
      </c>
    </row>
    <row r="34" customFormat="false" ht="14.25" hidden="false" customHeight="false" outlineLevel="0" collapsed="false">
      <c r="A34" s="17" t="s">
        <v>28</v>
      </c>
      <c r="B34" s="17" t="n">
        <f aca="false">COUNTIF($B$5:$B$30,A34)</f>
        <v>4</v>
      </c>
      <c r="C34" s="18" t="n">
        <f aca="false">SUMIF($B$5:$B$30,A34,$D$5:$D$30)</f>
        <v>12100</v>
      </c>
    </row>
    <row r="35" customFormat="false" ht="14.25" hidden="false" customHeight="false" outlineLevel="0" collapsed="false">
      <c r="A35" s="17" t="s">
        <v>61</v>
      </c>
      <c r="B35" s="17" t="n">
        <f aca="false">COUNTIF($B$5:$B$30,A35)</f>
        <v>5</v>
      </c>
      <c r="C35" s="18" t="n">
        <f aca="false">SUMIF($B$5:$B$30,A35,$D$5:$D$30)</f>
        <v>275</v>
      </c>
    </row>
    <row r="36" customFormat="false" ht="14.25" hidden="false" customHeight="false" outlineLevel="0" collapsed="false">
      <c r="A36" s="17" t="s">
        <v>49</v>
      </c>
      <c r="B36" s="17" t="n">
        <f aca="false">COUNTIF($B$5:$B$30,A36)</f>
        <v>1</v>
      </c>
      <c r="C36" s="18" t="n">
        <f aca="false">SUMIF($B$5:$B$30,A36,$D$5:$D$30)</f>
        <v>550</v>
      </c>
    </row>
    <row r="37" customFormat="false" ht="14.25" hidden="false" customHeight="false" outlineLevel="0" collapsed="false">
      <c r="A37" s="17" t="s">
        <v>34</v>
      </c>
      <c r="B37" s="17" t="n">
        <f aca="false">COUNTIF($B$5:$B$30,A37)</f>
        <v>9</v>
      </c>
      <c r="C37" s="18" t="n">
        <f aca="false">SUMIF($B$5:$B$30,A37,$D$5:$D$30)</f>
        <v>72765</v>
      </c>
    </row>
    <row r="38" customFormat="false" ht="14.25" hidden="false" customHeight="false" outlineLevel="0" collapsed="false">
      <c r="A38" s="17" t="s">
        <v>68</v>
      </c>
      <c r="B38" s="17" t="n">
        <f aca="false">COUNTIF($B$5:$B$30,A38)</f>
        <v>1</v>
      </c>
      <c r="C38" s="18" t="n">
        <f aca="false">SUMIF($B$5:$B$30,A38,$D$5:$D$30)</f>
        <v>55</v>
      </c>
    </row>
    <row r="39" customFormat="false" ht="14.25" hidden="false" customHeight="false" outlineLevel="0" collapsed="false">
      <c r="A39" s="17" t="s">
        <v>38</v>
      </c>
      <c r="B39" s="17" t="n">
        <f aca="false">COUNTIF($B$5:$B$30,A39)</f>
        <v>4</v>
      </c>
      <c r="C39" s="18" t="n">
        <f aca="false">SUMIF($B$5:$B$30,A39,$D$5:$D$30)</f>
        <v>17050</v>
      </c>
    </row>
    <row r="40" customFormat="false" ht="14.25" hidden="false" customHeight="false" outlineLevel="0" collapsed="false">
      <c r="A40" s="17" t="s">
        <v>40</v>
      </c>
      <c r="B40" s="17" t="n">
        <f aca="false">COUNTIF($B$5:$B$30,A40)</f>
        <v>2</v>
      </c>
      <c r="C40" s="18" t="n">
        <f aca="false">SUMIF($B$5:$B$30,A40,$D$5:$D$30)</f>
        <v>6050</v>
      </c>
    </row>
    <row r="41" customFormat="false" ht="14.25" hidden="false" customHeight="false" outlineLevel="0" collapsed="false">
      <c r="A41" s="19" t="s">
        <v>75</v>
      </c>
      <c r="B41" s="17" t="n">
        <f aca="false">COUNTA($A$5:$A$30)</f>
        <v>26</v>
      </c>
      <c r="C41" s="18" t="n">
        <f aca="false">SUM($D$5:$D$30)</f>
        <v>108845</v>
      </c>
    </row>
  </sheetData>
  <autoFilter ref="A4:K30">
    <sortState ref="A5:K30">
      <sortCondition ref="D5:D30" descending="1" customList=""/>
    </sortState>
  </autoFilter>
  <mergeCells count="1">
    <mergeCell ref="A2:K2"/>
  </mergeCells>
  <conditionalFormatting sqref="D5:D30">
    <cfRule type="dataBar" priority="2">
      <dataBar showValue="1" minLength="10" maxLength="90">
        <cfvo type="num" val="0"/>
        <cfvo type="max" val="0"/>
        <color rgb="FF5B9BD5"/>
      </dataBar>
      <extLst>
        <ext xmlns:x14="http://schemas.microsoft.com/office/spreadsheetml/2009/9/main" uri="{B025F937-C7B1-47D3-B67F-A62EFF666E3E}">
          <x14:id>{3C806F9D-A538-453F-B0C7-55B6C6BFC0BB}</x14:id>
        </ext>
      </extLst>
    </cfRule>
  </conditionalFormatting>
  <conditionalFormatting sqref="H5:H30">
    <cfRule type="colorScale" priority="3">
      <colorScale>
        <cfvo type="num" val="0"/>
        <cfvo type="max" val="0"/>
        <color rgb="FFFFFFFF"/>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3C806F9D-A538-453F-B0C7-55B6C6BFC0BB}">
            <x14:dataBar minLength="10" maxLength="90" axisPosition="none" gradient="true">
              <x14:cfvo type="num">
                <xm:f>0</xm:f>
              </x14:cfvo>
              <x14:cfvo type="max"/>
              <x14:negativeFillColor rgb="FF5B9BD5"/>
              <x14:axisColor rgb="FF000000"/>
            </x14:dataBar>
          </x14:cfRule>
          <xm:sqref>D5:D30</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E8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C4" activeCellId="0" sqref="C4"/>
    </sheetView>
  </sheetViews>
  <sheetFormatPr defaultColWidth="8.6328125" defaultRowHeight="14.25" zeroHeight="false" outlineLevelRow="0" outlineLevelCol="0"/>
  <cols>
    <col collapsed="false" customWidth="true" hidden="false" outlineLevel="0" max="1" min="1" style="0" width="22"/>
    <col collapsed="false" customWidth="true" hidden="false" outlineLevel="0" max="4" min="2" style="0" width="70"/>
    <col collapsed="false" customWidth="true" hidden="false" outlineLevel="0" max="5" min="5" style="0" width="44"/>
  </cols>
  <sheetData>
    <row r="1" customFormat="false" ht="18" hidden="false" customHeight="true" outlineLevel="0" collapsed="false">
      <c r="A1" s="7" t="s">
        <v>76</v>
      </c>
    </row>
    <row r="2" customFormat="false" ht="39.75" hidden="false" customHeight="true" outlineLevel="0" collapsed="false">
      <c r="A2" s="8" t="s">
        <v>77</v>
      </c>
      <c r="B2" s="8"/>
      <c r="C2" s="8"/>
      <c r="D2" s="8"/>
      <c r="E2" s="8"/>
    </row>
    <row r="4" customFormat="false" ht="14.25" hidden="false" customHeight="false" outlineLevel="0" collapsed="false">
      <c r="A4" s="20" t="s">
        <v>78</v>
      </c>
    </row>
    <row r="5" customFormat="false" ht="14.25" hidden="false" customHeight="false" outlineLevel="0" collapsed="false">
      <c r="A5" s="9" t="s">
        <v>79</v>
      </c>
      <c r="B5" s="9" t="s">
        <v>80</v>
      </c>
      <c r="C5" s="9" t="s">
        <v>81</v>
      </c>
      <c r="D5" s="9" t="s">
        <v>82</v>
      </c>
      <c r="E5" s="9" t="s">
        <v>83</v>
      </c>
    </row>
    <row r="6" customFormat="false" ht="14.25" hidden="false" customHeight="false" outlineLevel="0" collapsed="false">
      <c r="A6" s="11" t="s">
        <v>84</v>
      </c>
      <c r="B6" s="10" t="s">
        <v>85</v>
      </c>
      <c r="C6" s="21" t="n">
        <f aca="false">LEN(B6)</f>
        <v>27</v>
      </c>
      <c r="D6" s="21" t="str">
        <f aca="false">IF(C6&lt;=30,"✓","تجاوز")</f>
        <v>✓</v>
      </c>
      <c r="E6" s="11" t="s">
        <v>86</v>
      </c>
    </row>
    <row r="7" customFormat="false" ht="14.25" hidden="false" customHeight="false" outlineLevel="0" collapsed="false">
      <c r="A7" s="11" t="s">
        <v>87</v>
      </c>
      <c r="B7" s="10" t="s">
        <v>88</v>
      </c>
      <c r="C7" s="21" t="n">
        <f aca="false">LEN(B7)</f>
        <v>25</v>
      </c>
      <c r="D7" s="21" t="str">
        <f aca="false">IF(C7&lt;=30,"✓","تجاوز")</f>
        <v>✓</v>
      </c>
      <c r="E7" s="11"/>
    </row>
    <row r="8" customFormat="false" ht="14.25" hidden="false" customHeight="false" outlineLevel="0" collapsed="false">
      <c r="A8" s="11" t="s">
        <v>89</v>
      </c>
      <c r="B8" s="10" t="s">
        <v>90</v>
      </c>
      <c r="C8" s="21" t="n">
        <f aca="false">LEN(B8)</f>
        <v>22</v>
      </c>
      <c r="D8" s="21" t="str">
        <f aca="false">IF(C8&lt;=30,"✓","تجاوز")</f>
        <v>✓</v>
      </c>
      <c r="E8" s="11"/>
    </row>
    <row r="9" customFormat="false" ht="14.25" hidden="false" customHeight="false" outlineLevel="0" collapsed="false">
      <c r="A9" s="11" t="s">
        <v>91</v>
      </c>
      <c r="B9" s="10" t="s">
        <v>92</v>
      </c>
      <c r="C9" s="21" t="n">
        <f aca="false">LEN(B9)</f>
        <v>23</v>
      </c>
      <c r="D9" s="21" t="str">
        <f aca="false">IF(C9&lt;=30,"✓","تجاوز")</f>
        <v>✓</v>
      </c>
      <c r="E9" s="11"/>
    </row>
    <row r="10" customFormat="false" ht="14.25" hidden="false" customHeight="false" outlineLevel="0" collapsed="false">
      <c r="A10" s="11" t="s">
        <v>93</v>
      </c>
      <c r="B10" s="10" t="s">
        <v>94</v>
      </c>
      <c r="C10" s="21" t="n">
        <f aca="false">LEN(B10)</f>
        <v>24</v>
      </c>
      <c r="D10" s="21" t="str">
        <f aca="false">IF(C10&lt;=30,"✓","تجاوز")</f>
        <v>✓</v>
      </c>
      <c r="E10" s="11"/>
    </row>
    <row r="11" customFormat="false" ht="14.25" hidden="false" customHeight="false" outlineLevel="0" collapsed="false">
      <c r="A11" s="11" t="s">
        <v>95</v>
      </c>
      <c r="B11" s="10" t="s">
        <v>96</v>
      </c>
      <c r="C11" s="21" t="n">
        <f aca="false">LEN(B11)</f>
        <v>24</v>
      </c>
      <c r="D11" s="21" t="str">
        <f aca="false">IF(C11&lt;=30,"✓","تجاوز")</f>
        <v>✓</v>
      </c>
      <c r="E11" s="11"/>
    </row>
    <row r="12" customFormat="false" ht="14.25" hidden="false" customHeight="false" outlineLevel="0" collapsed="false">
      <c r="A12" s="11" t="s">
        <v>97</v>
      </c>
      <c r="B12" s="10" t="s">
        <v>98</v>
      </c>
      <c r="C12" s="21" t="n">
        <f aca="false">LEN(B12)</f>
        <v>19</v>
      </c>
      <c r="D12" s="21" t="str">
        <f aca="false">IF(C12&lt;=30,"✓","تجاوز")</f>
        <v>✓</v>
      </c>
      <c r="E12" s="11"/>
    </row>
    <row r="13" customFormat="false" ht="14.25" hidden="false" customHeight="false" outlineLevel="0" collapsed="false">
      <c r="A13" s="11" t="s">
        <v>99</v>
      </c>
      <c r="B13" s="10" t="s">
        <v>100</v>
      </c>
      <c r="C13" s="21" t="n">
        <f aca="false">LEN(B13)</f>
        <v>21</v>
      </c>
      <c r="D13" s="21" t="str">
        <f aca="false">IF(C13&lt;=30,"✓","تجاوز")</f>
        <v>✓</v>
      </c>
      <c r="E13" s="11"/>
    </row>
    <row r="14" customFormat="false" ht="14.25" hidden="false" customHeight="false" outlineLevel="0" collapsed="false">
      <c r="A14" s="11" t="s">
        <v>101</v>
      </c>
      <c r="B14" s="10" t="s">
        <v>102</v>
      </c>
      <c r="C14" s="21" t="n">
        <f aca="false">LEN(B14)</f>
        <v>20</v>
      </c>
      <c r="D14" s="21" t="str">
        <f aca="false">IF(C14&lt;=30,"✓","تجاوز")</f>
        <v>✓</v>
      </c>
      <c r="E14" s="11"/>
    </row>
    <row r="15" customFormat="false" ht="14.25" hidden="false" customHeight="false" outlineLevel="0" collapsed="false">
      <c r="A15" s="11" t="s">
        <v>103</v>
      </c>
      <c r="B15" s="10" t="s">
        <v>104</v>
      </c>
      <c r="C15" s="21" t="n">
        <f aca="false">LEN(B15)</f>
        <v>19</v>
      </c>
      <c r="D15" s="21" t="str">
        <f aca="false">IF(C15&lt;=30,"✓","تجاوز")</f>
        <v>✓</v>
      </c>
      <c r="E15" s="11"/>
    </row>
    <row r="16" customFormat="false" ht="14.25" hidden="false" customHeight="false" outlineLevel="0" collapsed="false">
      <c r="A16" s="11" t="s">
        <v>105</v>
      </c>
      <c r="B16" s="10" t="s">
        <v>106</v>
      </c>
      <c r="C16" s="21" t="n">
        <f aca="false">LEN(B16)</f>
        <v>25</v>
      </c>
      <c r="D16" s="21" t="str">
        <f aca="false">IF(C16&lt;=30,"✓","تجاوز")</f>
        <v>✓</v>
      </c>
      <c r="E16" s="11"/>
    </row>
    <row r="17" customFormat="false" ht="14.25" hidden="false" customHeight="false" outlineLevel="0" collapsed="false">
      <c r="A17" s="11" t="s">
        <v>107</v>
      </c>
      <c r="B17" s="10" t="s">
        <v>108</v>
      </c>
      <c r="C17" s="21" t="n">
        <f aca="false">LEN(B17)</f>
        <v>22</v>
      </c>
      <c r="D17" s="21" t="str">
        <f aca="false">IF(C17&lt;=30,"✓","تجاوز")</f>
        <v>✓</v>
      </c>
      <c r="E17" s="11"/>
    </row>
    <row r="18" customFormat="false" ht="14.25" hidden="false" customHeight="false" outlineLevel="0" collapsed="false">
      <c r="A18" s="11" t="s">
        <v>109</v>
      </c>
      <c r="B18" s="10" t="s">
        <v>110</v>
      </c>
      <c r="C18" s="21" t="n">
        <f aca="false">LEN(B18)</f>
        <v>18</v>
      </c>
      <c r="D18" s="21" t="str">
        <f aca="false">IF(C18&lt;=30,"✓","تجاوز")</f>
        <v>✓</v>
      </c>
      <c r="E18" s="11"/>
    </row>
    <row r="19" customFormat="false" ht="14.25" hidden="false" customHeight="false" outlineLevel="0" collapsed="false">
      <c r="A19" s="11" t="s">
        <v>111</v>
      </c>
      <c r="B19" s="10" t="s">
        <v>112</v>
      </c>
      <c r="C19" s="21" t="n">
        <f aca="false">LEN(B19)</f>
        <v>26</v>
      </c>
      <c r="D19" s="21" t="str">
        <f aca="false">IF(C19&lt;=30,"✓","تجاوز")</f>
        <v>✓</v>
      </c>
      <c r="E19" s="11"/>
    </row>
    <row r="20" customFormat="false" ht="24.75" hidden="false" customHeight="true" outlineLevel="0" collapsed="false">
      <c r="A20" s="11" t="s">
        <v>113</v>
      </c>
      <c r="B20" s="10" t="s">
        <v>114</v>
      </c>
      <c r="C20" s="21" t="n">
        <f aca="false">LEN(B20)</f>
        <v>19</v>
      </c>
      <c r="D20" s="21" t="str">
        <f aca="false">IF(C20&lt;=30,"✓","تجاوز")</f>
        <v>✓</v>
      </c>
      <c r="E20" s="11"/>
    </row>
    <row r="21" customFormat="false" ht="24.75" hidden="false" customHeight="true" outlineLevel="0" collapsed="false"/>
    <row r="22" customFormat="false" ht="24.75" hidden="false" customHeight="true" outlineLevel="0" collapsed="false">
      <c r="A22" s="20" t="s">
        <v>115</v>
      </c>
    </row>
    <row r="23" customFormat="false" ht="24.75" hidden="false" customHeight="true" outlineLevel="0" collapsed="false">
      <c r="A23" s="9" t="s">
        <v>79</v>
      </c>
      <c r="B23" s="9" t="s">
        <v>80</v>
      </c>
      <c r="C23" s="9" t="s">
        <v>81</v>
      </c>
      <c r="D23" s="9" t="s">
        <v>116</v>
      </c>
      <c r="E23" s="9" t="s">
        <v>83</v>
      </c>
    </row>
    <row r="24" customFormat="false" ht="14.25" hidden="false" customHeight="false" outlineLevel="0" collapsed="false">
      <c r="A24" s="11" t="s">
        <v>117</v>
      </c>
      <c r="B24" s="10" t="s">
        <v>118</v>
      </c>
      <c r="C24" s="21" t="n">
        <f aca="false">LEN(B24)</f>
        <v>73</v>
      </c>
      <c r="D24" s="21" t="str">
        <f aca="false">IF(C24&lt;=90,"✓","تجاوز")</f>
        <v>✓</v>
      </c>
      <c r="E24" s="11"/>
    </row>
    <row r="25" customFormat="false" ht="14.25" hidden="false" customHeight="false" outlineLevel="0" collapsed="false">
      <c r="A25" s="11" t="s">
        <v>119</v>
      </c>
      <c r="B25" s="10" t="s">
        <v>120</v>
      </c>
      <c r="C25" s="21" t="n">
        <f aca="false">LEN(B25)</f>
        <v>78</v>
      </c>
      <c r="D25" s="21" t="str">
        <f aca="false">IF(C25&lt;=90,"✓","تجاوز")</f>
        <v>✓</v>
      </c>
      <c r="E25" s="11"/>
    </row>
    <row r="26" customFormat="false" ht="14.25" hidden="false" customHeight="false" outlineLevel="0" collapsed="false">
      <c r="A26" s="11" t="s">
        <v>121</v>
      </c>
      <c r="B26" s="10" t="s">
        <v>122</v>
      </c>
      <c r="C26" s="21" t="n">
        <f aca="false">LEN(B26)</f>
        <v>74</v>
      </c>
      <c r="D26" s="21" t="str">
        <f aca="false">IF(C26&lt;=90,"✓","تجاوز")</f>
        <v>✓</v>
      </c>
      <c r="E26" s="11"/>
    </row>
    <row r="27" customFormat="false" ht="14.25" hidden="false" customHeight="false" outlineLevel="0" collapsed="false">
      <c r="A27" s="11" t="s">
        <v>123</v>
      </c>
      <c r="B27" s="10" t="s">
        <v>124</v>
      </c>
      <c r="C27" s="21" t="n">
        <f aca="false">LEN(B27)</f>
        <v>86</v>
      </c>
      <c r="D27" s="21" t="str">
        <f aca="false">IF(C27&lt;=90,"✓","تجاوز")</f>
        <v>✓</v>
      </c>
      <c r="E27" s="11"/>
    </row>
    <row r="29" customFormat="false" ht="14.25" hidden="false" customHeight="false" outlineLevel="0" collapsed="false">
      <c r="A29" s="20" t="s">
        <v>125</v>
      </c>
    </row>
    <row r="30" customFormat="false" ht="14.25" hidden="false" customHeight="false" outlineLevel="0" collapsed="false">
      <c r="A30" s="9" t="s">
        <v>79</v>
      </c>
      <c r="B30" s="9" t="s">
        <v>80</v>
      </c>
      <c r="C30" s="9" t="s">
        <v>81</v>
      </c>
      <c r="D30" s="9" t="s">
        <v>126</v>
      </c>
      <c r="E30" s="9" t="s">
        <v>83</v>
      </c>
    </row>
    <row r="31" customFormat="false" ht="14.25" hidden="false" customHeight="false" outlineLevel="0" collapsed="false">
      <c r="A31" s="11" t="s">
        <v>127</v>
      </c>
      <c r="B31" s="10" t="s">
        <v>128</v>
      </c>
      <c r="C31" s="21" t="n">
        <f aca="false">LEN(B31)</f>
        <v>9</v>
      </c>
      <c r="D31" s="21" t="str">
        <f aca="false">IF(C31&lt;=25,"✓","تجاوز")</f>
        <v>✓</v>
      </c>
      <c r="E31" s="11" t="s">
        <v>129</v>
      </c>
    </row>
    <row r="32" customFormat="false" ht="14.25" hidden="false" customHeight="false" outlineLevel="0" collapsed="false">
      <c r="A32" s="11" t="s">
        <v>130</v>
      </c>
      <c r="B32" s="10" t="s">
        <v>131</v>
      </c>
      <c r="C32" s="21" t="n">
        <f aca="false">LEN(B32)</f>
        <v>18</v>
      </c>
      <c r="D32" s="21" t="str">
        <f aca="false">IF(C32&lt;=25,"✓","تجاوز")</f>
        <v>✓</v>
      </c>
      <c r="E32" s="11" t="s">
        <v>129</v>
      </c>
    </row>
    <row r="33" customFormat="false" ht="14.25" hidden="false" customHeight="false" outlineLevel="0" collapsed="false">
      <c r="A33" s="11" t="s">
        <v>132</v>
      </c>
      <c r="B33" s="10" t="s">
        <v>100</v>
      </c>
      <c r="C33" s="21" t="n">
        <f aca="false">LEN(B33)</f>
        <v>21</v>
      </c>
      <c r="D33" s="21" t="str">
        <f aca="false">IF(C33&lt;=25,"✓","تجاوز")</f>
        <v>✓</v>
      </c>
      <c r="E33" s="11" t="s">
        <v>129</v>
      </c>
    </row>
    <row r="34" customFormat="false" ht="14.25" hidden="false" customHeight="false" outlineLevel="0" collapsed="false">
      <c r="A34" s="11" t="s">
        <v>133</v>
      </c>
      <c r="B34" s="10" t="s">
        <v>134</v>
      </c>
      <c r="C34" s="21" t="n">
        <f aca="false">LEN(B34)</f>
        <v>17</v>
      </c>
      <c r="D34" s="21" t="str">
        <f aca="false">IF(C34&lt;=25,"✓","تجاوز")</f>
        <v>✓</v>
      </c>
      <c r="E34" s="11" t="s">
        <v>129</v>
      </c>
    </row>
    <row r="35" customFormat="false" ht="14.25" hidden="false" customHeight="false" outlineLevel="0" collapsed="false">
      <c r="A35" s="11" t="s">
        <v>135</v>
      </c>
      <c r="B35" s="10" t="s">
        <v>108</v>
      </c>
      <c r="C35" s="21" t="n">
        <f aca="false">LEN(B35)</f>
        <v>22</v>
      </c>
      <c r="D35" s="21" t="str">
        <f aca="false">IF(C35&lt;=25,"✓","تجاوز")</f>
        <v>✓</v>
      </c>
      <c r="E35" s="11" t="s">
        <v>129</v>
      </c>
    </row>
    <row r="36" customFormat="false" ht="14.25" hidden="false" customHeight="false" outlineLevel="0" collapsed="false">
      <c r="A36" s="11" t="s">
        <v>136</v>
      </c>
      <c r="B36" s="10" t="s">
        <v>137</v>
      </c>
      <c r="C36" s="21" t="n">
        <f aca="false">LEN(B36)</f>
        <v>23</v>
      </c>
      <c r="D36" s="21" t="str">
        <f aca="false">IF(C36&lt;=25,"✓","تجاوز")</f>
        <v>✓</v>
      </c>
      <c r="E36" s="11" t="s">
        <v>129</v>
      </c>
    </row>
    <row r="38" customFormat="false" ht="14.25" hidden="false" customHeight="false" outlineLevel="0" collapsed="false">
      <c r="A38" s="20" t="s">
        <v>138</v>
      </c>
    </row>
    <row r="39" customFormat="false" ht="14.25" hidden="false" customHeight="false" outlineLevel="0" collapsed="false">
      <c r="A39" s="9" t="s">
        <v>79</v>
      </c>
      <c r="B39" s="9" t="s">
        <v>80</v>
      </c>
      <c r="C39" s="9" t="s">
        <v>81</v>
      </c>
      <c r="D39" s="9" t="s">
        <v>139</v>
      </c>
      <c r="E39" s="9" t="s">
        <v>83</v>
      </c>
    </row>
    <row r="40" customFormat="false" ht="14.25" hidden="false" customHeight="false" outlineLevel="0" collapsed="false">
      <c r="A40" s="11" t="s">
        <v>140</v>
      </c>
      <c r="B40" s="10" t="s">
        <v>141</v>
      </c>
      <c r="C40" s="21" t="n">
        <f aca="false">LEN(B40)</f>
        <v>10</v>
      </c>
      <c r="D40" s="21" t="str">
        <f aca="false">IF(C40&lt;=35,"✓","تجاوز")</f>
        <v>✓</v>
      </c>
      <c r="E40" s="11"/>
    </row>
    <row r="41" customFormat="false" ht="14.25" hidden="false" customHeight="false" outlineLevel="0" collapsed="false">
      <c r="A41" s="11" t="s">
        <v>142</v>
      </c>
      <c r="B41" s="10" t="s">
        <v>143</v>
      </c>
      <c r="C41" s="21" t="n">
        <f aca="false">LEN(B41)</f>
        <v>12</v>
      </c>
      <c r="D41" s="21" t="str">
        <f aca="false">IF(C41&lt;=35,"✓","تجاوز")</f>
        <v>✓</v>
      </c>
      <c r="E41" s="11"/>
    </row>
    <row r="42" customFormat="false" ht="14.25" hidden="false" customHeight="false" outlineLevel="0" collapsed="false">
      <c r="A42" s="11" t="s">
        <v>144</v>
      </c>
      <c r="B42" s="10" t="s">
        <v>145</v>
      </c>
      <c r="C42" s="21" t="n">
        <f aca="false">LEN(B42)</f>
        <v>17</v>
      </c>
      <c r="D42" s="21" t="str">
        <f aca="false">IF(C42&lt;=35,"✓","تجاوز")</f>
        <v>✓</v>
      </c>
      <c r="E42" s="11"/>
    </row>
    <row r="43" customFormat="false" ht="14.25" hidden="false" customHeight="false" outlineLevel="0" collapsed="false">
      <c r="A43" s="11" t="s">
        <v>146</v>
      </c>
      <c r="B43" s="10" t="s">
        <v>147</v>
      </c>
      <c r="C43" s="21" t="n">
        <f aca="false">LEN(B43)</f>
        <v>19</v>
      </c>
      <c r="D43" s="21" t="str">
        <f aca="false">IF(C43&lt;=35,"✓","تجاوز")</f>
        <v>✓</v>
      </c>
      <c r="E43" s="11"/>
    </row>
    <row r="44" customFormat="false" ht="14.25" hidden="false" customHeight="false" outlineLevel="0" collapsed="false">
      <c r="A44" s="11" t="s">
        <v>148</v>
      </c>
      <c r="B44" s="10" t="s">
        <v>149</v>
      </c>
      <c r="C44" s="21" t="n">
        <f aca="false">LEN(B44)</f>
        <v>13</v>
      </c>
      <c r="D44" s="21" t="str">
        <f aca="false">IF(C44&lt;=35,"✓","تجاوز")</f>
        <v>✓</v>
      </c>
      <c r="E44" s="11"/>
    </row>
    <row r="45" customFormat="false" ht="14.25" hidden="false" customHeight="false" outlineLevel="0" collapsed="false">
      <c r="A45" s="11" t="s">
        <v>150</v>
      </c>
      <c r="B45" s="10" t="s">
        <v>151</v>
      </c>
      <c r="C45" s="21" t="n">
        <f aca="false">LEN(B45)</f>
        <v>22</v>
      </c>
      <c r="D45" s="21" t="str">
        <f aca="false">IF(C45&lt;=35,"✓","تجاوز")</f>
        <v>✓</v>
      </c>
      <c r="E45" s="11"/>
    </row>
    <row r="46" customFormat="false" ht="14.25" hidden="false" customHeight="false" outlineLevel="0" collapsed="false">
      <c r="A46" s="11" t="s">
        <v>152</v>
      </c>
      <c r="B46" s="10" t="s">
        <v>153</v>
      </c>
      <c r="C46" s="21" t="n">
        <f aca="false">LEN(B46)</f>
        <v>13</v>
      </c>
      <c r="D46" s="21" t="str">
        <f aca="false">IF(C46&lt;=35,"✓","تجاوز")</f>
        <v>✓</v>
      </c>
      <c r="E46" s="11"/>
    </row>
    <row r="47" customFormat="false" ht="14.25" hidden="false" customHeight="false" outlineLevel="0" collapsed="false">
      <c r="A47" s="11" t="s">
        <v>154</v>
      </c>
      <c r="B47" s="10" t="s">
        <v>155</v>
      </c>
      <c r="C47" s="21" t="n">
        <f aca="false">LEN(B47)</f>
        <v>10</v>
      </c>
      <c r="D47" s="21" t="str">
        <f aca="false">IF(C47&lt;=35,"✓","تجاوز")</f>
        <v>✓</v>
      </c>
      <c r="E47" s="11"/>
    </row>
    <row r="48" customFormat="false" ht="14.25" hidden="false" customHeight="false" outlineLevel="0" collapsed="false">
      <c r="A48" s="11" t="s">
        <v>156</v>
      </c>
      <c r="B48" s="10" t="s">
        <v>157</v>
      </c>
      <c r="C48" s="21" t="n">
        <f aca="false">LEN(B48)</f>
        <v>11</v>
      </c>
      <c r="D48" s="21" t="str">
        <f aca="false">IF(C48&lt;=35,"✓","تجاوز")</f>
        <v>✓</v>
      </c>
      <c r="E48" s="11"/>
    </row>
    <row r="49" customFormat="false" ht="14.25" hidden="false" customHeight="false" outlineLevel="0" collapsed="false">
      <c r="A49" s="11" t="s">
        <v>158</v>
      </c>
      <c r="B49" s="10" t="s">
        <v>159</v>
      </c>
      <c r="C49" s="21" t="n">
        <f aca="false">LEN(B49)</f>
        <v>10</v>
      </c>
      <c r="D49" s="21" t="str">
        <f aca="false">IF(C49&lt;=35,"✓","تجاوز")</f>
        <v>✓</v>
      </c>
      <c r="E49" s="11"/>
    </row>
    <row r="50" customFormat="false" ht="14.25" hidden="false" customHeight="false" outlineLevel="0" collapsed="false">
      <c r="A50" s="11" t="s">
        <v>160</v>
      </c>
      <c r="B50" s="10" t="s">
        <v>161</v>
      </c>
      <c r="C50" s="21" t="n">
        <f aca="false">LEN(B50)</f>
        <v>10</v>
      </c>
      <c r="D50" s="21" t="str">
        <f aca="false">IF(C50&lt;=35,"✓","تجاوز")</f>
        <v>✓</v>
      </c>
      <c r="E50" s="11"/>
    </row>
    <row r="51" customFormat="false" ht="14.25" hidden="false" customHeight="false" outlineLevel="0" collapsed="false">
      <c r="A51" s="11" t="s">
        <v>162</v>
      </c>
      <c r="B51" s="10" t="s">
        <v>163</v>
      </c>
      <c r="C51" s="21" t="n">
        <f aca="false">LEN(B51)</f>
        <v>11</v>
      </c>
      <c r="D51" s="21" t="str">
        <f aca="false">IF(C51&lt;=35,"✓","تجاوز")</f>
        <v>✓</v>
      </c>
      <c r="E51" s="11"/>
    </row>
    <row r="53" customFormat="false" ht="15" hidden="false" customHeight="false" outlineLevel="0" collapsed="false">
      <c r="A53" s="20" t="s">
        <v>164</v>
      </c>
    </row>
    <row r="54" customFormat="false" ht="14.25" hidden="false" customHeight="false" outlineLevel="0" collapsed="false">
      <c r="A54" s="9" t="s">
        <v>79</v>
      </c>
      <c r="B54" s="9" t="s">
        <v>80</v>
      </c>
      <c r="C54" s="9" t="s">
        <v>81</v>
      </c>
      <c r="D54" s="9" t="s">
        <v>126</v>
      </c>
      <c r="E54" s="9" t="s">
        <v>83</v>
      </c>
    </row>
    <row r="55" customFormat="false" ht="14.25" hidden="false" customHeight="false" outlineLevel="0" collapsed="false">
      <c r="A55" s="11" t="s">
        <v>165</v>
      </c>
      <c r="B55" s="10" t="s">
        <v>166</v>
      </c>
      <c r="C55" s="21" t="n">
        <f aca="false">LEN(B55)</f>
        <v>18</v>
      </c>
      <c r="D55" s="21" t="str">
        <f aca="false">IF(C55&lt;=25,"✓","تجاوز")</f>
        <v>✓</v>
      </c>
      <c r="E55" s="11"/>
    </row>
    <row r="56" customFormat="false" ht="14.25" hidden="false" customHeight="false" outlineLevel="0" collapsed="false">
      <c r="A56" s="11" t="s">
        <v>167</v>
      </c>
      <c r="B56" s="10" t="s">
        <v>100</v>
      </c>
      <c r="C56" s="21" t="n">
        <f aca="false">LEN(B56)</f>
        <v>21</v>
      </c>
      <c r="D56" s="21" t="str">
        <f aca="false">IF(C56&lt;=25,"✓","تجاوز")</f>
        <v>✓</v>
      </c>
      <c r="E56" s="11"/>
    </row>
    <row r="57" customFormat="false" ht="14.25" hidden="false" customHeight="false" outlineLevel="0" collapsed="false">
      <c r="A57" s="11" t="s">
        <v>168</v>
      </c>
      <c r="B57" s="10" t="s">
        <v>134</v>
      </c>
      <c r="C57" s="21" t="n">
        <f aca="false">LEN(B57)</f>
        <v>17</v>
      </c>
      <c r="D57" s="21" t="str">
        <f aca="false">IF(C57&lt;=25,"✓","تجاوز")</f>
        <v>✓</v>
      </c>
      <c r="E57" s="11"/>
    </row>
    <row r="58" customFormat="false" ht="14.25" hidden="false" customHeight="false" outlineLevel="0" collapsed="false">
      <c r="A58" s="11" t="s">
        <v>169</v>
      </c>
      <c r="B58" s="10" t="s">
        <v>108</v>
      </c>
      <c r="C58" s="21" t="n">
        <f aca="false">LEN(B58)</f>
        <v>22</v>
      </c>
      <c r="D58" s="21" t="str">
        <f aca="false">IF(C58&lt;=25,"✓","تجاوز")</f>
        <v>✓</v>
      </c>
      <c r="E58" s="11"/>
    </row>
    <row r="59" customFormat="false" ht="14.25" hidden="false" customHeight="false" outlineLevel="0" collapsed="false">
      <c r="A59" s="11" t="s">
        <v>170</v>
      </c>
      <c r="B59" s="10" t="s">
        <v>171</v>
      </c>
      <c r="C59" s="21" t="n">
        <f aca="false">LEN(B59)</f>
        <v>18</v>
      </c>
      <c r="D59" s="21" t="str">
        <f aca="false">IF(C59&lt;=25,"✓","تجاوز")</f>
        <v>✓</v>
      </c>
      <c r="E59" s="11"/>
    </row>
    <row r="60" customFormat="false" ht="14.25" hidden="false" customHeight="false" outlineLevel="0" collapsed="false">
      <c r="A60" s="11" t="s">
        <v>172</v>
      </c>
      <c r="B60" s="10" t="s">
        <v>137</v>
      </c>
      <c r="C60" s="21" t="n">
        <f aca="false">LEN(B60)</f>
        <v>23</v>
      </c>
      <c r="D60" s="21" t="str">
        <f aca="false">IF(C60&lt;=25,"✓","تجاوز")</f>
        <v>✓</v>
      </c>
      <c r="E60" s="11"/>
    </row>
    <row r="61" customFormat="false" ht="14.25" hidden="false" customHeight="false" outlineLevel="0" collapsed="false">
      <c r="A61" s="11" t="s">
        <v>173</v>
      </c>
      <c r="B61" s="10" t="s">
        <v>174</v>
      </c>
      <c r="C61" s="21" t="n">
        <f aca="false">LEN(B61)</f>
        <v>18</v>
      </c>
      <c r="D61" s="21" t="str">
        <f aca="false">IF(C61&lt;=25,"✓","تجاوز")</f>
        <v>✓</v>
      </c>
      <c r="E61" s="11"/>
    </row>
    <row r="63" customFormat="false" ht="14.25" hidden="false" customHeight="false" outlineLevel="0" collapsed="false">
      <c r="A63" s="20" t="s">
        <v>175</v>
      </c>
    </row>
    <row r="64" customFormat="false" ht="14.25" hidden="false" customHeight="false" outlineLevel="0" collapsed="false">
      <c r="A64" s="9" t="s">
        <v>79</v>
      </c>
      <c r="B64" s="9" t="s">
        <v>80</v>
      </c>
      <c r="C64" s="9" t="s">
        <v>81</v>
      </c>
      <c r="D64" s="9" t="s">
        <v>82</v>
      </c>
      <c r="E64" s="9" t="s">
        <v>83</v>
      </c>
    </row>
    <row r="65" customFormat="false" ht="14.25" hidden="false" customHeight="false" outlineLevel="0" collapsed="false">
      <c r="A65" s="11" t="s">
        <v>176</v>
      </c>
      <c r="B65" s="10" t="s">
        <v>177</v>
      </c>
      <c r="C65" s="21" t="n">
        <f aca="false">LEN(B65)</f>
        <v>22</v>
      </c>
      <c r="D65" s="21" t="str">
        <f aca="false">IF(C65&lt;=30,"✓","تجاوز")</f>
        <v>✓</v>
      </c>
      <c r="E65" s="11" t="s">
        <v>178</v>
      </c>
    </row>
    <row r="66" customFormat="false" ht="14.25" hidden="false" customHeight="false" outlineLevel="0" collapsed="false">
      <c r="A66" s="11" t="s">
        <v>179</v>
      </c>
      <c r="B66" s="10" t="s">
        <v>180</v>
      </c>
      <c r="C66" s="21" t="n">
        <f aca="false">LEN(B66)</f>
        <v>29</v>
      </c>
      <c r="D66" s="21" t="str">
        <f aca="false">IF(C66&lt;=30,"✓","تجاوز")</f>
        <v>✓</v>
      </c>
      <c r="E66" s="11"/>
    </row>
    <row r="67" customFormat="false" ht="14.25" hidden="false" customHeight="false" outlineLevel="0" collapsed="false">
      <c r="A67" s="11" t="s">
        <v>181</v>
      </c>
      <c r="B67" s="10" t="s">
        <v>182</v>
      </c>
      <c r="C67" s="21" t="n">
        <f aca="false">LEN(B67)</f>
        <v>16</v>
      </c>
      <c r="D67" s="21" t="str">
        <f aca="false">IF(C67&lt;=30,"✓","تجاوز")</f>
        <v>✓</v>
      </c>
      <c r="E67" s="11"/>
    </row>
    <row r="68" customFormat="false" ht="14.25" hidden="false" customHeight="false" outlineLevel="0" collapsed="false">
      <c r="A68" s="11" t="s">
        <v>183</v>
      </c>
      <c r="B68" s="10" t="s">
        <v>184</v>
      </c>
      <c r="C68" s="21" t="n">
        <f aca="false">LEN(B68)</f>
        <v>28</v>
      </c>
      <c r="D68" s="21" t="str">
        <f aca="false">IF(C68&lt;=30,"✓","تجاوز")</f>
        <v>✓</v>
      </c>
      <c r="E68" s="11"/>
    </row>
    <row r="69" customFormat="false" ht="14.25" hidden="false" customHeight="false" outlineLevel="0" collapsed="false">
      <c r="A69" s="11" t="s">
        <v>185</v>
      </c>
      <c r="B69" s="10" t="s">
        <v>186</v>
      </c>
      <c r="C69" s="21" t="n">
        <f aca="false">LEN(B69)</f>
        <v>23</v>
      </c>
      <c r="D69" s="21" t="str">
        <f aca="false">IF(C69&lt;=30,"✓","تجاوز")</f>
        <v>✓</v>
      </c>
      <c r="E69" s="11"/>
    </row>
    <row r="70" customFormat="false" ht="14.25" hidden="false" customHeight="false" outlineLevel="0" collapsed="false">
      <c r="A70" s="11" t="s">
        <v>187</v>
      </c>
      <c r="B70" s="10" t="s">
        <v>188</v>
      </c>
      <c r="C70" s="21" t="n">
        <f aca="false">LEN(B70)</f>
        <v>24</v>
      </c>
      <c r="D70" s="21" t="str">
        <f aca="false">IF(C70&lt;=30,"✓","تجاوز")</f>
        <v>✓</v>
      </c>
      <c r="E70" s="11"/>
    </row>
    <row r="71" customFormat="false" ht="14.25" hidden="false" customHeight="false" outlineLevel="0" collapsed="false">
      <c r="A71" s="11" t="s">
        <v>189</v>
      </c>
      <c r="B71" s="10" t="s">
        <v>190</v>
      </c>
      <c r="C71" s="21" t="n">
        <f aca="false">LEN(B71)</f>
        <v>20</v>
      </c>
      <c r="D71" s="21" t="str">
        <f aca="false">IF(C71&lt;=30,"✓","تجاوز")</f>
        <v>✓</v>
      </c>
      <c r="E71" s="11"/>
    </row>
    <row r="72" customFormat="false" ht="14.25" hidden="false" customHeight="false" outlineLevel="0" collapsed="false">
      <c r="A72" s="11" t="s">
        <v>191</v>
      </c>
      <c r="B72" s="10" t="s">
        <v>192</v>
      </c>
      <c r="C72" s="21" t="n">
        <f aca="false">LEN(B72)</f>
        <v>27</v>
      </c>
      <c r="D72" s="21" t="str">
        <f aca="false">IF(C72&lt;=30,"✓","تجاوز")</f>
        <v>✓</v>
      </c>
      <c r="E72" s="11"/>
    </row>
    <row r="73" customFormat="false" ht="14.25" hidden="false" customHeight="false" outlineLevel="0" collapsed="false">
      <c r="A73" s="11" t="s">
        <v>193</v>
      </c>
      <c r="B73" s="10" t="s">
        <v>194</v>
      </c>
      <c r="C73" s="21" t="n">
        <f aca="false">LEN(B73)</f>
        <v>26</v>
      </c>
      <c r="D73" s="21" t="str">
        <f aca="false">IF(C73&lt;=30,"✓","تجاوز")</f>
        <v>✓</v>
      </c>
      <c r="E73" s="11"/>
    </row>
    <row r="74" customFormat="false" ht="14.25" hidden="false" customHeight="false" outlineLevel="0" collapsed="false">
      <c r="A74" s="11" t="s">
        <v>195</v>
      </c>
      <c r="B74" s="10" t="s">
        <v>196</v>
      </c>
      <c r="C74" s="21" t="n">
        <f aca="false">LEN(B74)</f>
        <v>26</v>
      </c>
      <c r="D74" s="21" t="str">
        <f aca="false">IF(C74&lt;=30,"✓","تجاوز")</f>
        <v>✓</v>
      </c>
      <c r="E74" s="11"/>
    </row>
    <row r="75" customFormat="false" ht="14.25" hidden="false" customHeight="false" outlineLevel="0" collapsed="false">
      <c r="A75" s="11" t="s">
        <v>197</v>
      </c>
      <c r="B75" s="10" t="s">
        <v>198</v>
      </c>
      <c r="C75" s="21" t="n">
        <f aca="false">LEN(B75)</f>
        <v>25</v>
      </c>
      <c r="D75" s="21" t="str">
        <f aca="false">IF(C75&lt;=30,"✓","تجاوز")</f>
        <v>✓</v>
      </c>
      <c r="E75" s="11"/>
    </row>
    <row r="76" customFormat="false" ht="14.25" hidden="false" customHeight="false" outlineLevel="0" collapsed="false">
      <c r="A76" s="11" t="s">
        <v>199</v>
      </c>
      <c r="B76" s="10" t="s">
        <v>200</v>
      </c>
      <c r="C76" s="21" t="n">
        <f aca="false">LEN(B76)</f>
        <v>21</v>
      </c>
      <c r="D76" s="21" t="str">
        <f aca="false">IF(C76&lt;=30,"✓","تجاوز")</f>
        <v>✓</v>
      </c>
      <c r="E76" s="11"/>
    </row>
    <row r="77" customFormat="false" ht="14.25" hidden="false" customHeight="false" outlineLevel="0" collapsed="false">
      <c r="A77" s="11" t="s">
        <v>201</v>
      </c>
      <c r="B77" s="10" t="s">
        <v>202</v>
      </c>
      <c r="C77" s="21" t="n">
        <f aca="false">LEN(B77)</f>
        <v>18</v>
      </c>
      <c r="D77" s="21" t="str">
        <f aca="false">IF(C77&lt;=30,"✓","تجاوز")</f>
        <v>✓</v>
      </c>
      <c r="E77" s="11"/>
    </row>
    <row r="78" customFormat="false" ht="14.25" hidden="false" customHeight="false" outlineLevel="0" collapsed="false">
      <c r="A78" s="11" t="s">
        <v>203</v>
      </c>
      <c r="B78" s="10" t="s">
        <v>204</v>
      </c>
      <c r="C78" s="21" t="n">
        <f aca="false">LEN(B78)</f>
        <v>24</v>
      </c>
      <c r="D78" s="21" t="str">
        <f aca="false">IF(C78&lt;=30,"✓","تجاوز")</f>
        <v>✓</v>
      </c>
      <c r="E78" s="11"/>
    </row>
    <row r="79" customFormat="false" ht="14.25" hidden="false" customHeight="false" outlineLevel="0" collapsed="false">
      <c r="A79" s="11" t="s">
        <v>205</v>
      </c>
      <c r="B79" s="10" t="s">
        <v>206</v>
      </c>
      <c r="C79" s="21" t="n">
        <f aca="false">LEN(B79)</f>
        <v>19</v>
      </c>
      <c r="D79" s="21" t="str">
        <f aca="false">IF(C79&lt;=30,"✓","تجاوز")</f>
        <v>✓</v>
      </c>
      <c r="E79" s="11"/>
    </row>
    <row r="81" customFormat="false" ht="15" hidden="false" customHeight="false" outlineLevel="0" collapsed="false">
      <c r="A81" s="20" t="s">
        <v>207</v>
      </c>
    </row>
    <row r="82" customFormat="false" ht="14.25" hidden="false" customHeight="false" outlineLevel="0" collapsed="false">
      <c r="A82" s="9" t="s">
        <v>79</v>
      </c>
      <c r="B82" s="9" t="s">
        <v>80</v>
      </c>
      <c r="C82" s="9" t="s">
        <v>81</v>
      </c>
      <c r="D82" s="9" t="s">
        <v>116</v>
      </c>
      <c r="E82" s="9" t="s">
        <v>83</v>
      </c>
    </row>
    <row r="83" customFormat="false" ht="14.25" hidden="false" customHeight="false" outlineLevel="0" collapsed="false">
      <c r="A83" s="11" t="s">
        <v>208</v>
      </c>
      <c r="B83" s="10" t="s">
        <v>209</v>
      </c>
      <c r="C83" s="21" t="n">
        <f aca="false">LEN(B83)</f>
        <v>80</v>
      </c>
      <c r="D83" s="21" t="str">
        <f aca="false">IF(C83&lt;=90,"✓","تجاوز")</f>
        <v>✓</v>
      </c>
      <c r="E83" s="11"/>
    </row>
    <row r="84" customFormat="false" ht="14.25" hidden="false" customHeight="false" outlineLevel="0" collapsed="false">
      <c r="A84" s="11" t="s">
        <v>210</v>
      </c>
      <c r="B84" s="10" t="s">
        <v>211</v>
      </c>
      <c r="C84" s="21" t="n">
        <f aca="false">LEN(B84)</f>
        <v>88</v>
      </c>
      <c r="D84" s="21" t="str">
        <f aca="false">IF(C84&lt;=90,"✓","تجاوز")</f>
        <v>✓</v>
      </c>
      <c r="E84" s="11"/>
    </row>
    <row r="85" customFormat="false" ht="23.85" hidden="false" customHeight="false" outlineLevel="0" collapsed="false">
      <c r="A85" s="11" t="s">
        <v>212</v>
      </c>
      <c r="B85" s="10" t="s">
        <v>213</v>
      </c>
      <c r="C85" s="21" t="n">
        <f aca="false">LEN(B85)</f>
        <v>86</v>
      </c>
      <c r="D85" s="21" t="str">
        <f aca="false">IF(C85&lt;=90,"✓","تجاوز")</f>
        <v>✓</v>
      </c>
      <c r="E85" s="11"/>
    </row>
    <row r="86" customFormat="false" ht="14.25" hidden="false" customHeight="false" outlineLevel="0" collapsed="false">
      <c r="A86" s="11" t="s">
        <v>214</v>
      </c>
      <c r="B86" s="10" t="s">
        <v>215</v>
      </c>
      <c r="C86" s="21" t="n">
        <f aca="false">LEN(B86)</f>
        <v>75</v>
      </c>
      <c r="D86" s="21" t="str">
        <f aca="false">IF(C86&lt;=90,"✓","تجاوز")</f>
        <v>✓</v>
      </c>
      <c r="E86" s="11"/>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30"/>
    <col collapsed="false" customWidth="true" hidden="false" outlineLevel="0" max="3" min="3" style="0" width="16"/>
    <col collapsed="false" customWidth="true" hidden="false" outlineLevel="0" max="4" min="4" style="0" width="60"/>
  </cols>
  <sheetData>
    <row r="1" customFormat="false" ht="17.15" hidden="false" customHeight="false" outlineLevel="0" collapsed="false">
      <c r="A1" s="7" t="s">
        <v>216</v>
      </c>
    </row>
    <row r="2" customFormat="false" ht="39.75" hidden="false" customHeight="true" outlineLevel="0" collapsed="false">
      <c r="A2" s="8" t="s">
        <v>217</v>
      </c>
      <c r="B2" s="8"/>
      <c r="C2" s="8"/>
      <c r="D2" s="8"/>
    </row>
    <row r="4" customFormat="false" ht="15" hidden="false" customHeight="false" outlineLevel="0" collapsed="false">
      <c r="A4" s="16" t="s">
        <v>218</v>
      </c>
      <c r="B4" s="16" t="s">
        <v>16</v>
      </c>
      <c r="C4" s="16" t="s">
        <v>219</v>
      </c>
      <c r="D4" s="16" t="s">
        <v>83</v>
      </c>
    </row>
    <row r="5" customFormat="false" ht="15" hidden="false" customHeight="false" outlineLevel="0" collapsed="false">
      <c r="A5" s="11" t="s">
        <v>220</v>
      </c>
      <c r="B5" s="11" t="s">
        <v>33</v>
      </c>
      <c r="C5" s="11" t="s">
        <v>221</v>
      </c>
      <c r="D5" s="11"/>
    </row>
    <row r="6" customFormat="false" ht="15" hidden="false" customHeight="false" outlineLevel="0" collapsed="false">
      <c r="A6" s="11" t="s">
        <v>220</v>
      </c>
      <c r="B6" s="11" t="s">
        <v>41</v>
      </c>
      <c r="C6" s="11" t="s">
        <v>221</v>
      </c>
      <c r="D6" s="11"/>
    </row>
    <row r="7" customFormat="false" ht="15" hidden="false" customHeight="false" outlineLevel="0" collapsed="false">
      <c r="A7" s="11" t="s">
        <v>220</v>
      </c>
      <c r="B7" s="11" t="s">
        <v>43</v>
      </c>
      <c r="C7" s="11" t="s">
        <v>221</v>
      </c>
      <c r="D7" s="11"/>
    </row>
    <row r="8" customFormat="false" ht="15" hidden="false" customHeight="false" outlineLevel="0" collapsed="false">
      <c r="A8" s="11" t="s">
        <v>220</v>
      </c>
      <c r="B8" s="11" t="s">
        <v>53</v>
      </c>
      <c r="C8" s="11" t="s">
        <v>221</v>
      </c>
      <c r="D8" s="11"/>
    </row>
    <row r="9" customFormat="false" ht="15" hidden="false" customHeight="false" outlineLevel="0" collapsed="false">
      <c r="A9" s="11" t="s">
        <v>220</v>
      </c>
      <c r="B9" s="11" t="s">
        <v>57</v>
      </c>
      <c r="C9" s="11" t="s">
        <v>221</v>
      </c>
      <c r="D9" s="11"/>
    </row>
    <row r="10" customFormat="false" ht="15" hidden="false" customHeight="false" outlineLevel="0" collapsed="false">
      <c r="A10" s="11" t="s">
        <v>220</v>
      </c>
      <c r="B10" s="11" t="s">
        <v>58</v>
      </c>
      <c r="C10" s="11" t="s">
        <v>221</v>
      </c>
      <c r="D10" s="11"/>
    </row>
    <row r="11" customFormat="false" ht="15" hidden="false" customHeight="false" outlineLevel="0" collapsed="false">
      <c r="A11" s="11" t="s">
        <v>220</v>
      </c>
      <c r="B11" s="11" t="s">
        <v>63</v>
      </c>
      <c r="C11" s="11" t="s">
        <v>221</v>
      </c>
      <c r="D11" s="11"/>
    </row>
    <row r="12" customFormat="false" ht="15" hidden="false" customHeight="false" outlineLevel="0" collapsed="false">
      <c r="A12" s="11" t="s">
        <v>220</v>
      </c>
      <c r="B12" s="11" t="s">
        <v>69</v>
      </c>
      <c r="C12" s="11" t="s">
        <v>221</v>
      </c>
      <c r="D12" s="11"/>
    </row>
    <row r="13" customFormat="false" ht="15" hidden="false" customHeight="false" outlineLevel="0" collapsed="false">
      <c r="A13" s="11" t="s">
        <v>40</v>
      </c>
      <c r="B13" s="11" t="s">
        <v>39</v>
      </c>
      <c r="C13" s="11" t="s">
        <v>221</v>
      </c>
      <c r="D13" s="11"/>
    </row>
    <row r="14" customFormat="false" ht="15" hidden="false" customHeight="false" outlineLevel="0" collapsed="false">
      <c r="A14" s="11" t="s">
        <v>40</v>
      </c>
      <c r="B14" s="11" t="s">
        <v>56</v>
      </c>
      <c r="C14" s="11" t="s">
        <v>221</v>
      </c>
      <c r="D14" s="11"/>
    </row>
    <row r="15" customFormat="false" ht="15" hidden="false" customHeight="false" outlineLevel="0" collapsed="false">
      <c r="A15" s="11" t="s">
        <v>28</v>
      </c>
      <c r="B15" s="11" t="s">
        <v>27</v>
      </c>
      <c r="C15" s="11" t="s">
        <v>221</v>
      </c>
      <c r="D15" s="11" t="s">
        <v>222</v>
      </c>
    </row>
    <row r="16" customFormat="false" ht="15" hidden="false" customHeight="false" outlineLevel="0" collapsed="false">
      <c r="A16" s="11" t="s">
        <v>28</v>
      </c>
      <c r="B16" s="11" t="s">
        <v>36</v>
      </c>
      <c r="C16" s="11" t="s">
        <v>221</v>
      </c>
      <c r="D16" s="11" t="s">
        <v>222</v>
      </c>
    </row>
    <row r="17" customFormat="false" ht="15" hidden="false" customHeight="false" outlineLevel="0" collapsed="false">
      <c r="A17" s="11" t="s">
        <v>28</v>
      </c>
      <c r="B17" s="11" t="s">
        <v>51</v>
      </c>
      <c r="C17" s="11" t="s">
        <v>221</v>
      </c>
      <c r="D17" s="11" t="s">
        <v>222</v>
      </c>
    </row>
    <row r="18" customFormat="false" ht="15" hidden="false" customHeight="false" outlineLevel="0" collapsed="false">
      <c r="A18" s="11" t="s">
        <v>28</v>
      </c>
      <c r="B18" s="11" t="s">
        <v>55</v>
      </c>
      <c r="C18" s="11" t="s">
        <v>221</v>
      </c>
      <c r="D18" s="11" t="s">
        <v>222</v>
      </c>
    </row>
    <row r="19" customFormat="false" ht="15" hidden="false" customHeight="false" outlineLevel="0" collapsed="false">
      <c r="A19" s="11" t="s">
        <v>223</v>
      </c>
      <c r="B19" s="11" t="s">
        <v>48</v>
      </c>
      <c r="C19" s="11" t="s">
        <v>221</v>
      </c>
      <c r="D19" s="11" t="s">
        <v>224</v>
      </c>
    </row>
    <row r="20" customFormat="false" ht="15" hidden="false" customHeight="false" outlineLevel="0" collapsed="false">
      <c r="A20" s="11" t="s">
        <v>61</v>
      </c>
      <c r="B20" s="11" t="s">
        <v>65</v>
      </c>
      <c r="C20" s="11" t="s">
        <v>225</v>
      </c>
      <c r="D20" s="11"/>
    </row>
    <row r="21" customFormat="false" ht="15" hidden="false" customHeight="false" outlineLevel="0" collapsed="false">
      <c r="A21" s="11" t="s">
        <v>61</v>
      </c>
      <c r="B21" s="11" t="s">
        <v>62</v>
      </c>
      <c r="C21" s="11" t="s">
        <v>225</v>
      </c>
      <c r="D21" s="11"/>
    </row>
    <row r="22" customFormat="false" ht="15" hidden="false" customHeight="false" outlineLevel="0" collapsed="false">
      <c r="A22" s="11" t="s">
        <v>61</v>
      </c>
      <c r="B22" s="11" t="s">
        <v>66</v>
      </c>
      <c r="C22" s="11" t="s">
        <v>225</v>
      </c>
      <c r="D22" s="11"/>
    </row>
    <row r="23" customFormat="false" ht="15" hidden="false" customHeight="false" outlineLevel="0" collapsed="false">
      <c r="A23" s="11" t="s">
        <v>61</v>
      </c>
      <c r="B23" s="11" t="s">
        <v>70</v>
      </c>
      <c r="C23" s="11" t="s">
        <v>225</v>
      </c>
      <c r="D23" s="11"/>
    </row>
    <row r="24" customFormat="false" ht="15" hidden="false" customHeight="false" outlineLevel="0" collapsed="false">
      <c r="A24" s="11" t="s">
        <v>61</v>
      </c>
      <c r="B24" s="11" t="s">
        <v>60</v>
      </c>
      <c r="C24" s="11" t="s">
        <v>225</v>
      </c>
      <c r="D24" s="11"/>
    </row>
    <row r="25" customFormat="false" ht="15" hidden="false" customHeight="false" outlineLevel="0" collapsed="false">
      <c r="A25" s="11" t="s">
        <v>68</v>
      </c>
      <c r="B25" s="11" t="s">
        <v>67</v>
      </c>
      <c r="C25" s="11" t="s">
        <v>221</v>
      </c>
      <c r="D25" s="11"/>
    </row>
    <row r="26" customFormat="false" ht="15" hidden="false" customHeight="false" outlineLevel="0" collapsed="false">
      <c r="A26" s="11" t="s">
        <v>226</v>
      </c>
      <c r="B26" s="11" t="s">
        <v>42</v>
      </c>
      <c r="C26" s="11" t="s">
        <v>225</v>
      </c>
      <c r="D26" s="11" t="s">
        <v>227</v>
      </c>
    </row>
    <row r="27" customFormat="false" ht="15" hidden="false" customHeight="false" outlineLevel="0" collapsed="false">
      <c r="A27" s="11" t="s">
        <v>226</v>
      </c>
      <c r="B27" s="11" t="s">
        <v>54</v>
      </c>
      <c r="C27" s="11" t="s">
        <v>225</v>
      </c>
      <c r="D27" s="11" t="s">
        <v>227</v>
      </c>
    </row>
    <row r="28" customFormat="false" ht="15" hidden="false" customHeight="false" outlineLevel="0" collapsed="false">
      <c r="A28" s="11" t="s">
        <v>226</v>
      </c>
      <c r="B28" s="11" t="s">
        <v>37</v>
      </c>
      <c r="C28" s="11" t="s">
        <v>225</v>
      </c>
      <c r="D28" s="11" t="s">
        <v>227</v>
      </c>
    </row>
    <row r="29" customFormat="false" ht="15" hidden="false" customHeight="false" outlineLevel="0" collapsed="false">
      <c r="A29" s="11" t="s">
        <v>226</v>
      </c>
      <c r="B29" s="11" t="s">
        <v>45</v>
      </c>
      <c r="C29" s="11" t="s">
        <v>225</v>
      </c>
      <c r="D29" s="11" t="s">
        <v>227</v>
      </c>
    </row>
    <row r="30" customFormat="false" ht="15" hidden="false" customHeight="false" outlineLevel="0" collapsed="false">
      <c r="A30" s="11" t="s">
        <v>228</v>
      </c>
      <c r="B30" s="11" t="s">
        <v>46</v>
      </c>
      <c r="C30" s="11" t="s">
        <v>229</v>
      </c>
      <c r="D30" s="11" t="s">
        <v>230</v>
      </c>
    </row>
    <row r="32" customFormat="false" ht="15" hidden="false" customHeight="false" outlineLevel="0" collapsed="false">
      <c r="A32" s="15" t="s">
        <v>231</v>
      </c>
    </row>
    <row r="33" customFormat="false" ht="15" hidden="false" customHeight="true" outlineLevel="0" collapsed="false">
      <c r="A33" s="11" t="s">
        <v>232</v>
      </c>
      <c r="B33" s="11" t="s">
        <v>233</v>
      </c>
      <c r="C33" s="11" t="s">
        <v>234</v>
      </c>
      <c r="D33" s="11"/>
    </row>
    <row r="34" customFormat="false" ht="15" hidden="false" customHeight="true" outlineLevel="0" collapsed="false">
      <c r="A34" s="11" t="s">
        <v>235</v>
      </c>
      <c r="B34" s="11" t="s">
        <v>233</v>
      </c>
      <c r="C34" s="11" t="s">
        <v>236</v>
      </c>
      <c r="D34" s="11"/>
    </row>
    <row r="35" customFormat="false" ht="15" hidden="false" customHeight="true" outlineLevel="0" collapsed="false">
      <c r="A35" s="11" t="s">
        <v>237</v>
      </c>
      <c r="B35" s="11" t="s">
        <v>225</v>
      </c>
      <c r="C35" s="11" t="s">
        <v>238</v>
      </c>
      <c r="D35" s="11"/>
    </row>
    <row r="36" customFormat="false" ht="15" hidden="false" customHeight="true" outlineLevel="0" collapsed="false">
      <c r="A36" s="11" t="s">
        <v>239</v>
      </c>
      <c r="B36" s="11" t="s">
        <v>225</v>
      </c>
      <c r="C36" s="11" t="s">
        <v>240</v>
      </c>
      <c r="D36" s="11"/>
    </row>
    <row r="37" customFormat="false" ht="15" hidden="false" customHeight="true" outlineLevel="0" collapsed="false">
      <c r="A37" s="11" t="s">
        <v>241</v>
      </c>
      <c r="B37" s="11" t="s">
        <v>242</v>
      </c>
      <c r="C37" s="11" t="s">
        <v>243</v>
      </c>
      <c r="D37" s="11"/>
    </row>
  </sheetData>
  <mergeCells count="6">
    <mergeCell ref="A2:D2"/>
    <mergeCell ref="C33:D33"/>
    <mergeCell ref="C34:D34"/>
    <mergeCell ref="C35:D35"/>
    <mergeCell ref="C36:D36"/>
    <mergeCell ref="C37:D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D1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328125" defaultRowHeight="14.2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80"/>
    <col collapsed="false" customWidth="true" hidden="false" outlineLevel="0" max="4" min="4" style="0" width="18"/>
  </cols>
  <sheetData>
    <row r="1" customFormat="false" ht="18" hidden="false" customHeight="true" outlineLevel="0" collapsed="false">
      <c r="A1" s="7" t="s">
        <v>244</v>
      </c>
    </row>
    <row r="2" customFormat="false" ht="45" hidden="false" customHeight="true" outlineLevel="0" collapsed="false">
      <c r="A2" s="8" t="s">
        <v>245</v>
      </c>
      <c r="B2" s="8"/>
      <c r="C2" s="8"/>
      <c r="D2" s="8"/>
    </row>
    <row r="4" customFormat="false" ht="14.25" hidden="false" customHeight="false" outlineLevel="0" collapsed="false">
      <c r="A4" s="9" t="s">
        <v>246</v>
      </c>
      <c r="B4" s="9" t="s">
        <v>247</v>
      </c>
      <c r="C4" s="9" t="s">
        <v>248</v>
      </c>
      <c r="D4" s="9" t="s">
        <v>249</v>
      </c>
    </row>
    <row r="5" customFormat="false" ht="24.75" hidden="false" customHeight="true" outlineLevel="0" collapsed="false">
      <c r="A5" s="11" t="s">
        <v>250</v>
      </c>
      <c r="B5" s="11" t="s">
        <v>251</v>
      </c>
      <c r="C5" s="11" t="s">
        <v>252</v>
      </c>
      <c r="D5" s="11" t="s">
        <v>253</v>
      </c>
    </row>
    <row r="6" customFormat="false" ht="24.75" hidden="false" customHeight="true" outlineLevel="0" collapsed="false">
      <c r="A6" s="11" t="s">
        <v>254</v>
      </c>
      <c r="B6" s="11" t="s">
        <v>255</v>
      </c>
      <c r="C6" s="11" t="s">
        <v>256</v>
      </c>
      <c r="D6" s="11" t="s">
        <v>257</v>
      </c>
    </row>
    <row r="7" customFormat="false" ht="14.25" hidden="false" customHeight="false" outlineLevel="0" collapsed="false">
      <c r="A7" s="11" t="s">
        <v>258</v>
      </c>
      <c r="B7" s="11" t="s">
        <v>259</v>
      </c>
      <c r="C7" s="11" t="s">
        <v>260</v>
      </c>
      <c r="D7" s="11" t="s">
        <v>257</v>
      </c>
    </row>
    <row r="8" customFormat="false" ht="14.25" hidden="false" customHeight="false" outlineLevel="0" collapsed="false">
      <c r="A8" s="11" t="s">
        <v>261</v>
      </c>
      <c r="B8" s="11" t="s">
        <v>262</v>
      </c>
      <c r="C8" s="11" t="s">
        <v>263</v>
      </c>
      <c r="D8" s="11" t="s">
        <v>257</v>
      </c>
    </row>
    <row r="9" customFormat="false" ht="24.75" hidden="false" customHeight="true" outlineLevel="0" collapsed="false">
      <c r="A9" s="11" t="s">
        <v>264</v>
      </c>
      <c r="B9" s="11" t="s">
        <v>265</v>
      </c>
      <c r="C9" s="11" t="s">
        <v>266</v>
      </c>
      <c r="D9" s="11" t="s">
        <v>257</v>
      </c>
    </row>
    <row r="10" customFormat="false" ht="24.75" hidden="false" customHeight="true" outlineLevel="0" collapsed="false">
      <c r="A10" s="11" t="s">
        <v>267</v>
      </c>
      <c r="B10" s="11" t="s">
        <v>268</v>
      </c>
      <c r="C10" s="11" t="s">
        <v>269</v>
      </c>
      <c r="D10" s="11" t="s">
        <v>257</v>
      </c>
    </row>
    <row r="11" customFormat="false" ht="14.25" hidden="false" customHeight="false" outlineLevel="0" collapsed="false">
      <c r="A11" s="11" t="s">
        <v>270</v>
      </c>
      <c r="B11" s="11" t="s">
        <v>271</v>
      </c>
      <c r="C11" s="11" t="s">
        <v>272</v>
      </c>
      <c r="D11" s="11" t="s">
        <v>273</v>
      </c>
    </row>
    <row r="12" customFormat="false" ht="24.75" hidden="false" customHeight="true" outlineLevel="0" collapsed="false">
      <c r="A12" s="11" t="s">
        <v>274</v>
      </c>
      <c r="B12" s="11" t="s">
        <v>275</v>
      </c>
      <c r="C12" s="11" t="s">
        <v>276</v>
      </c>
      <c r="D12" s="11" t="s">
        <v>257</v>
      </c>
    </row>
    <row r="13" customFormat="false" ht="24.75" hidden="false" customHeight="true" outlineLevel="0" collapsed="false">
      <c r="A13" s="11" t="s">
        <v>277</v>
      </c>
      <c r="B13" s="11" t="s">
        <v>278</v>
      </c>
      <c r="C13" s="11" t="s">
        <v>279</v>
      </c>
      <c r="D13" s="11" t="s">
        <v>257</v>
      </c>
    </row>
    <row r="14" customFormat="false" ht="24.75" hidden="false" customHeight="true" outlineLevel="0" collapsed="false">
      <c r="A14" s="11" t="s">
        <v>280</v>
      </c>
      <c r="B14" s="11" t="s">
        <v>281</v>
      </c>
      <c r="C14" s="11" t="s">
        <v>282</v>
      </c>
      <c r="D14" s="11" t="s">
        <v>257</v>
      </c>
    </row>
    <row r="15" customFormat="false" ht="24.75" hidden="false" customHeight="true" outlineLevel="0" collapsed="false">
      <c r="A15" s="11" t="s">
        <v>283</v>
      </c>
      <c r="B15" s="11" t="s">
        <v>284</v>
      </c>
      <c r="C15" s="11" t="s">
        <v>285</v>
      </c>
      <c r="D15" s="11" t="s">
        <v>286</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D148"/>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107" activePane="bottomLeft" state="frozen"/>
      <selection pane="topLeft" activeCell="A1" activeCellId="0" sqref="A1"/>
      <selection pane="bottomLeft" activeCell="A1" activeCellId="0" sqref="A1"/>
    </sheetView>
  </sheetViews>
  <sheetFormatPr defaultColWidth="8.6328125" defaultRowHeight="14.25" zeroHeight="false" outlineLevelRow="0" outlineLevelCol="0"/>
  <cols>
    <col collapsed="false" customWidth="true" hidden="false" outlineLevel="0" max="2" min="1" style="0" width="26"/>
    <col collapsed="false" customWidth="true" hidden="false" outlineLevel="0" max="3" min="3" style="0" width="34"/>
    <col collapsed="false" customWidth="true" hidden="false" outlineLevel="0" max="4" min="4" style="0" width="12"/>
  </cols>
  <sheetData>
    <row r="1" customFormat="false" ht="18" hidden="false" customHeight="true" outlineLevel="0" collapsed="false">
      <c r="A1" s="7" t="s">
        <v>287</v>
      </c>
    </row>
    <row r="2" customFormat="false" ht="45" hidden="false" customHeight="true" outlineLevel="0" collapsed="false">
      <c r="A2" s="8" t="s">
        <v>288</v>
      </c>
      <c r="B2" s="8"/>
      <c r="C2" s="8"/>
      <c r="D2" s="8"/>
    </row>
    <row r="4" customFormat="false" ht="14.25" hidden="false" customHeight="false" outlineLevel="0" collapsed="false">
      <c r="A4" s="9" t="s">
        <v>289</v>
      </c>
      <c r="B4" s="9" t="s">
        <v>290</v>
      </c>
      <c r="C4" s="9" t="s">
        <v>291</v>
      </c>
      <c r="D4" s="9" t="s">
        <v>219</v>
      </c>
    </row>
    <row r="5" customFormat="false" ht="14.25" hidden="false" customHeight="false" outlineLevel="0" collapsed="false">
      <c r="A5" s="11" t="s">
        <v>292</v>
      </c>
      <c r="B5" s="11" t="s">
        <v>293</v>
      </c>
      <c r="C5" s="11" t="s">
        <v>294</v>
      </c>
      <c r="D5" s="11" t="s">
        <v>295</v>
      </c>
    </row>
    <row r="6" customFormat="false" ht="14.25" hidden="false" customHeight="false" outlineLevel="0" collapsed="false">
      <c r="A6" s="11" t="s">
        <v>292</v>
      </c>
      <c r="B6" s="11" t="s">
        <v>293</v>
      </c>
      <c r="C6" s="11" t="s">
        <v>296</v>
      </c>
      <c r="D6" s="11" t="s">
        <v>295</v>
      </c>
    </row>
    <row r="7" customFormat="false" ht="14.25" hidden="false" customHeight="false" outlineLevel="0" collapsed="false">
      <c r="A7" s="11" t="s">
        <v>292</v>
      </c>
      <c r="B7" s="11" t="s">
        <v>293</v>
      </c>
      <c r="C7" s="11" t="s">
        <v>297</v>
      </c>
      <c r="D7" s="11" t="s">
        <v>295</v>
      </c>
    </row>
    <row r="8" customFormat="false" ht="14.25" hidden="false" customHeight="false" outlineLevel="0" collapsed="false">
      <c r="A8" s="11" t="s">
        <v>292</v>
      </c>
      <c r="B8" s="11" t="s">
        <v>293</v>
      </c>
      <c r="C8" s="11" t="s">
        <v>298</v>
      </c>
      <c r="D8" s="11" t="s">
        <v>295</v>
      </c>
    </row>
    <row r="9" customFormat="false" ht="14.25" hidden="false" customHeight="false" outlineLevel="0" collapsed="false">
      <c r="A9" s="11" t="s">
        <v>292</v>
      </c>
      <c r="B9" s="11" t="s">
        <v>293</v>
      </c>
      <c r="C9" s="11" t="s">
        <v>299</v>
      </c>
      <c r="D9" s="11" t="s">
        <v>295</v>
      </c>
    </row>
    <row r="10" customFormat="false" ht="14.25" hidden="false" customHeight="false" outlineLevel="0" collapsed="false">
      <c r="A10" s="11" t="s">
        <v>292</v>
      </c>
      <c r="B10" s="11" t="s">
        <v>293</v>
      </c>
      <c r="C10" s="11" t="s">
        <v>300</v>
      </c>
      <c r="D10" s="11" t="s">
        <v>295</v>
      </c>
    </row>
    <row r="11" customFormat="false" ht="14.25" hidden="false" customHeight="false" outlineLevel="0" collapsed="false">
      <c r="A11" s="11" t="s">
        <v>292</v>
      </c>
      <c r="B11" s="11" t="s">
        <v>293</v>
      </c>
      <c r="C11" s="11" t="s">
        <v>301</v>
      </c>
      <c r="D11" s="11" t="s">
        <v>295</v>
      </c>
    </row>
    <row r="12" customFormat="false" ht="14.25" hidden="false" customHeight="false" outlineLevel="0" collapsed="false">
      <c r="A12" s="11" t="s">
        <v>292</v>
      </c>
      <c r="B12" s="11" t="s">
        <v>293</v>
      </c>
      <c r="C12" s="11" t="s">
        <v>302</v>
      </c>
      <c r="D12" s="11" t="s">
        <v>295</v>
      </c>
    </row>
    <row r="13" customFormat="false" ht="14.25" hidden="false" customHeight="false" outlineLevel="0" collapsed="false">
      <c r="A13" s="11" t="s">
        <v>292</v>
      </c>
      <c r="B13" s="11" t="s">
        <v>293</v>
      </c>
      <c r="C13" s="11" t="s">
        <v>303</v>
      </c>
      <c r="D13" s="11" t="s">
        <v>295</v>
      </c>
    </row>
    <row r="14" customFormat="false" ht="14.25" hidden="false" customHeight="false" outlineLevel="0" collapsed="false">
      <c r="A14" s="11" t="s">
        <v>292</v>
      </c>
      <c r="B14" s="11" t="s">
        <v>293</v>
      </c>
      <c r="C14" s="11" t="s">
        <v>304</v>
      </c>
      <c r="D14" s="11" t="s">
        <v>295</v>
      </c>
    </row>
    <row r="15" customFormat="false" ht="14.25" hidden="false" customHeight="false" outlineLevel="0" collapsed="false">
      <c r="A15" s="11" t="s">
        <v>292</v>
      </c>
      <c r="B15" s="11" t="s">
        <v>293</v>
      </c>
      <c r="C15" s="11" t="s">
        <v>305</v>
      </c>
      <c r="D15" s="11" t="s">
        <v>295</v>
      </c>
    </row>
    <row r="16" customFormat="false" ht="14.25" hidden="false" customHeight="false" outlineLevel="0" collapsed="false">
      <c r="A16" s="11" t="s">
        <v>292</v>
      </c>
      <c r="B16" s="11" t="s">
        <v>293</v>
      </c>
      <c r="C16" s="11" t="s">
        <v>306</v>
      </c>
      <c r="D16" s="11" t="s">
        <v>295</v>
      </c>
    </row>
    <row r="17" customFormat="false" ht="14.25" hidden="false" customHeight="false" outlineLevel="0" collapsed="false">
      <c r="A17" s="11" t="s">
        <v>292</v>
      </c>
      <c r="B17" s="11" t="s">
        <v>293</v>
      </c>
      <c r="C17" s="11" t="s">
        <v>307</v>
      </c>
      <c r="D17" s="11" t="s">
        <v>295</v>
      </c>
    </row>
    <row r="18" customFormat="false" ht="14.25" hidden="false" customHeight="false" outlineLevel="0" collapsed="false">
      <c r="A18" s="11" t="s">
        <v>292</v>
      </c>
      <c r="B18" s="11" t="s">
        <v>293</v>
      </c>
      <c r="C18" s="11" t="s">
        <v>308</v>
      </c>
      <c r="D18" s="11" t="s">
        <v>295</v>
      </c>
    </row>
    <row r="19" customFormat="false" ht="14.25" hidden="false" customHeight="false" outlineLevel="0" collapsed="false">
      <c r="A19" s="11" t="s">
        <v>292</v>
      </c>
      <c r="B19" s="11" t="s">
        <v>293</v>
      </c>
      <c r="C19" s="11" t="s">
        <v>309</v>
      </c>
      <c r="D19" s="11" t="s">
        <v>225</v>
      </c>
    </row>
    <row r="20" customFormat="false" ht="14.25" hidden="false" customHeight="false" outlineLevel="0" collapsed="false">
      <c r="A20" s="11" t="s">
        <v>292</v>
      </c>
      <c r="B20" s="11" t="s">
        <v>310</v>
      </c>
      <c r="C20" s="11" t="s">
        <v>310</v>
      </c>
      <c r="D20" s="11" t="s">
        <v>295</v>
      </c>
    </row>
    <row r="21" customFormat="false" ht="14.25" hidden="false" customHeight="false" outlineLevel="0" collapsed="false">
      <c r="A21" s="11" t="s">
        <v>292</v>
      </c>
      <c r="B21" s="11" t="s">
        <v>310</v>
      </c>
      <c r="C21" s="11" t="s">
        <v>311</v>
      </c>
      <c r="D21" s="11" t="s">
        <v>295</v>
      </c>
    </row>
    <row r="22" customFormat="false" ht="14.25" hidden="false" customHeight="false" outlineLevel="0" collapsed="false">
      <c r="A22" s="11" t="s">
        <v>292</v>
      </c>
      <c r="B22" s="11" t="s">
        <v>310</v>
      </c>
      <c r="C22" s="11" t="s">
        <v>312</v>
      </c>
      <c r="D22" s="11" t="s">
        <v>295</v>
      </c>
    </row>
    <row r="23" customFormat="false" ht="14.25" hidden="false" customHeight="false" outlineLevel="0" collapsed="false">
      <c r="A23" s="11" t="s">
        <v>292</v>
      </c>
      <c r="B23" s="11" t="s">
        <v>310</v>
      </c>
      <c r="C23" s="11" t="s">
        <v>313</v>
      </c>
      <c r="D23" s="11" t="s">
        <v>295</v>
      </c>
    </row>
    <row r="24" customFormat="false" ht="14.25" hidden="false" customHeight="false" outlineLevel="0" collapsed="false">
      <c r="A24" s="11" t="s">
        <v>292</v>
      </c>
      <c r="B24" s="11" t="s">
        <v>310</v>
      </c>
      <c r="C24" s="11" t="s">
        <v>314</v>
      </c>
      <c r="D24" s="11" t="s">
        <v>295</v>
      </c>
    </row>
    <row r="25" customFormat="false" ht="14.25" hidden="false" customHeight="false" outlineLevel="0" collapsed="false">
      <c r="A25" s="11" t="s">
        <v>292</v>
      </c>
      <c r="B25" s="11" t="s">
        <v>310</v>
      </c>
      <c r="C25" s="11" t="s">
        <v>315</v>
      </c>
      <c r="D25" s="11" t="s">
        <v>295</v>
      </c>
    </row>
    <row r="26" customFormat="false" ht="14.25" hidden="false" customHeight="false" outlineLevel="0" collapsed="false">
      <c r="A26" s="11" t="s">
        <v>292</v>
      </c>
      <c r="B26" s="11" t="s">
        <v>310</v>
      </c>
      <c r="C26" s="11" t="s">
        <v>316</v>
      </c>
      <c r="D26" s="11" t="s">
        <v>295</v>
      </c>
    </row>
    <row r="27" customFormat="false" ht="14.25" hidden="false" customHeight="false" outlineLevel="0" collapsed="false">
      <c r="A27" s="11" t="s">
        <v>292</v>
      </c>
      <c r="B27" s="11" t="s">
        <v>310</v>
      </c>
      <c r="C27" s="11" t="s">
        <v>317</v>
      </c>
      <c r="D27" s="11" t="s">
        <v>295</v>
      </c>
    </row>
    <row r="28" customFormat="false" ht="14.25" hidden="false" customHeight="false" outlineLevel="0" collapsed="false">
      <c r="A28" s="11" t="s">
        <v>292</v>
      </c>
      <c r="B28" s="11" t="s">
        <v>310</v>
      </c>
      <c r="C28" s="11" t="s">
        <v>318</v>
      </c>
      <c r="D28" s="11" t="s">
        <v>225</v>
      </c>
    </row>
    <row r="29" customFormat="false" ht="14.25" hidden="false" customHeight="false" outlineLevel="0" collapsed="false">
      <c r="A29" s="11" t="s">
        <v>292</v>
      </c>
      <c r="B29" s="11" t="s">
        <v>310</v>
      </c>
      <c r="C29" s="11" t="s">
        <v>319</v>
      </c>
      <c r="D29" s="11" t="s">
        <v>225</v>
      </c>
    </row>
    <row r="30" customFormat="false" ht="14.25" hidden="false" customHeight="false" outlineLevel="0" collapsed="false">
      <c r="A30" s="11" t="s">
        <v>292</v>
      </c>
      <c r="B30" s="11" t="s">
        <v>320</v>
      </c>
      <c r="C30" s="11" t="s">
        <v>321</v>
      </c>
      <c r="D30" s="11" t="s">
        <v>295</v>
      </c>
    </row>
    <row r="31" customFormat="false" ht="14.25" hidden="false" customHeight="false" outlineLevel="0" collapsed="false">
      <c r="A31" s="11" t="s">
        <v>292</v>
      </c>
      <c r="B31" s="11" t="s">
        <v>320</v>
      </c>
      <c r="C31" s="11" t="s">
        <v>322</v>
      </c>
      <c r="D31" s="11" t="s">
        <v>295</v>
      </c>
    </row>
    <row r="32" customFormat="false" ht="14.25" hidden="false" customHeight="false" outlineLevel="0" collapsed="false">
      <c r="A32" s="11" t="s">
        <v>292</v>
      </c>
      <c r="B32" s="11" t="s">
        <v>320</v>
      </c>
      <c r="C32" s="11" t="s">
        <v>323</v>
      </c>
      <c r="D32" s="11" t="s">
        <v>295</v>
      </c>
    </row>
    <row r="33" customFormat="false" ht="14.25" hidden="false" customHeight="false" outlineLevel="0" collapsed="false">
      <c r="A33" s="11" t="s">
        <v>292</v>
      </c>
      <c r="B33" s="11" t="s">
        <v>320</v>
      </c>
      <c r="C33" s="11" t="s">
        <v>324</v>
      </c>
      <c r="D33" s="11" t="s">
        <v>295</v>
      </c>
    </row>
    <row r="34" customFormat="false" ht="14.25" hidden="false" customHeight="false" outlineLevel="0" collapsed="false">
      <c r="A34" s="11" t="s">
        <v>292</v>
      </c>
      <c r="B34" s="11" t="s">
        <v>320</v>
      </c>
      <c r="C34" s="11" t="s">
        <v>325</v>
      </c>
      <c r="D34" s="11" t="s">
        <v>295</v>
      </c>
    </row>
    <row r="35" customFormat="false" ht="14.25" hidden="false" customHeight="false" outlineLevel="0" collapsed="false">
      <c r="A35" s="11" t="s">
        <v>292</v>
      </c>
      <c r="B35" s="11" t="s">
        <v>320</v>
      </c>
      <c r="C35" s="11" t="s">
        <v>326</v>
      </c>
      <c r="D35" s="11" t="s">
        <v>225</v>
      </c>
    </row>
    <row r="36" customFormat="false" ht="14.25" hidden="false" customHeight="false" outlineLevel="0" collapsed="false">
      <c r="A36" s="11" t="s">
        <v>292</v>
      </c>
      <c r="B36" s="11" t="s">
        <v>327</v>
      </c>
      <c r="C36" s="11" t="s">
        <v>328</v>
      </c>
      <c r="D36" s="11" t="s">
        <v>295</v>
      </c>
    </row>
    <row r="37" customFormat="false" ht="14.25" hidden="false" customHeight="false" outlineLevel="0" collapsed="false">
      <c r="A37" s="11" t="s">
        <v>292</v>
      </c>
      <c r="B37" s="11" t="s">
        <v>327</v>
      </c>
      <c r="C37" s="11" t="s">
        <v>329</v>
      </c>
      <c r="D37" s="11" t="s">
        <v>295</v>
      </c>
    </row>
    <row r="38" customFormat="false" ht="14.25" hidden="false" customHeight="false" outlineLevel="0" collapsed="false">
      <c r="A38" s="11" t="s">
        <v>292</v>
      </c>
      <c r="B38" s="11" t="s">
        <v>327</v>
      </c>
      <c r="C38" s="11" t="s">
        <v>330</v>
      </c>
      <c r="D38" s="11" t="s">
        <v>295</v>
      </c>
    </row>
    <row r="39" customFormat="false" ht="14.25" hidden="false" customHeight="false" outlineLevel="0" collapsed="false">
      <c r="A39" s="11" t="s">
        <v>292</v>
      </c>
      <c r="B39" s="11" t="s">
        <v>327</v>
      </c>
      <c r="C39" s="11" t="s">
        <v>331</v>
      </c>
      <c r="D39" s="11" t="s">
        <v>295</v>
      </c>
    </row>
    <row r="40" customFormat="false" ht="14.25" hidden="false" customHeight="false" outlineLevel="0" collapsed="false">
      <c r="A40" s="11" t="s">
        <v>292</v>
      </c>
      <c r="B40" s="11" t="s">
        <v>327</v>
      </c>
      <c r="C40" s="11" t="s">
        <v>332</v>
      </c>
      <c r="D40" s="11" t="s">
        <v>295</v>
      </c>
    </row>
    <row r="41" customFormat="false" ht="14.25" hidden="false" customHeight="false" outlineLevel="0" collapsed="false">
      <c r="A41" s="11" t="s">
        <v>292</v>
      </c>
      <c r="B41" s="11" t="s">
        <v>327</v>
      </c>
      <c r="C41" s="11" t="s">
        <v>333</v>
      </c>
      <c r="D41" s="11" t="s">
        <v>295</v>
      </c>
    </row>
    <row r="42" customFormat="false" ht="14.25" hidden="false" customHeight="false" outlineLevel="0" collapsed="false">
      <c r="A42" s="11" t="s">
        <v>292</v>
      </c>
      <c r="B42" s="11" t="s">
        <v>327</v>
      </c>
      <c r="C42" s="11" t="s">
        <v>334</v>
      </c>
      <c r="D42" s="11" t="s">
        <v>295</v>
      </c>
    </row>
    <row r="43" customFormat="false" ht="14.25" hidden="false" customHeight="false" outlineLevel="0" collapsed="false">
      <c r="A43" s="11" t="s">
        <v>292</v>
      </c>
      <c r="B43" s="11" t="s">
        <v>327</v>
      </c>
      <c r="C43" s="11" t="s">
        <v>335</v>
      </c>
      <c r="D43" s="11" t="s">
        <v>225</v>
      </c>
    </row>
    <row r="44" customFormat="false" ht="14.25" hidden="false" customHeight="false" outlineLevel="0" collapsed="false">
      <c r="A44" s="11" t="s">
        <v>292</v>
      </c>
      <c r="B44" s="11" t="s">
        <v>327</v>
      </c>
      <c r="C44" s="11" t="s">
        <v>336</v>
      </c>
      <c r="D44" s="11" t="s">
        <v>225</v>
      </c>
    </row>
    <row r="45" customFormat="false" ht="14.25" hidden="false" customHeight="false" outlineLevel="0" collapsed="false">
      <c r="A45" s="11" t="s">
        <v>292</v>
      </c>
      <c r="B45" s="11" t="s">
        <v>337</v>
      </c>
      <c r="C45" s="11" t="s">
        <v>338</v>
      </c>
      <c r="D45" s="11" t="s">
        <v>295</v>
      </c>
    </row>
    <row r="46" customFormat="false" ht="14.25" hidden="false" customHeight="false" outlineLevel="0" collapsed="false">
      <c r="A46" s="11" t="s">
        <v>292</v>
      </c>
      <c r="B46" s="11" t="s">
        <v>337</v>
      </c>
      <c r="C46" s="11" t="s">
        <v>339</v>
      </c>
      <c r="D46" s="11" t="s">
        <v>295</v>
      </c>
    </row>
    <row r="47" customFormat="false" ht="14.25" hidden="false" customHeight="false" outlineLevel="0" collapsed="false">
      <c r="A47" s="11" t="s">
        <v>292</v>
      </c>
      <c r="B47" s="11" t="s">
        <v>337</v>
      </c>
      <c r="C47" s="11" t="s">
        <v>340</v>
      </c>
      <c r="D47" s="11" t="s">
        <v>295</v>
      </c>
    </row>
    <row r="48" customFormat="false" ht="14.25" hidden="false" customHeight="false" outlineLevel="0" collapsed="false">
      <c r="A48" s="11" t="s">
        <v>292</v>
      </c>
      <c r="B48" s="11" t="s">
        <v>337</v>
      </c>
      <c r="C48" s="11" t="s">
        <v>341</v>
      </c>
      <c r="D48" s="11" t="s">
        <v>295</v>
      </c>
    </row>
    <row r="49" customFormat="false" ht="14.25" hidden="false" customHeight="false" outlineLevel="0" collapsed="false">
      <c r="A49" s="11" t="s">
        <v>292</v>
      </c>
      <c r="B49" s="11" t="s">
        <v>337</v>
      </c>
      <c r="C49" s="11" t="s">
        <v>342</v>
      </c>
      <c r="D49" s="11" t="s">
        <v>295</v>
      </c>
    </row>
    <row r="50" customFormat="false" ht="14.25" hidden="false" customHeight="false" outlineLevel="0" collapsed="false">
      <c r="A50" s="11" t="s">
        <v>292</v>
      </c>
      <c r="B50" s="11" t="s">
        <v>337</v>
      </c>
      <c r="C50" s="11" t="s">
        <v>343</v>
      </c>
      <c r="D50" s="11" t="s">
        <v>295</v>
      </c>
    </row>
    <row r="51" customFormat="false" ht="14.25" hidden="false" customHeight="false" outlineLevel="0" collapsed="false">
      <c r="A51" s="11" t="s">
        <v>292</v>
      </c>
      <c r="B51" s="11" t="s">
        <v>337</v>
      </c>
      <c r="C51" s="11" t="s">
        <v>344</v>
      </c>
      <c r="D51" s="11" t="s">
        <v>295</v>
      </c>
    </row>
    <row r="52" customFormat="false" ht="14.25" hidden="false" customHeight="false" outlineLevel="0" collapsed="false">
      <c r="A52" s="11" t="s">
        <v>292</v>
      </c>
      <c r="B52" s="11" t="s">
        <v>337</v>
      </c>
      <c r="C52" s="11" t="s">
        <v>345</v>
      </c>
      <c r="D52" s="11" t="s">
        <v>295</v>
      </c>
    </row>
    <row r="53" customFormat="false" ht="14.25" hidden="false" customHeight="false" outlineLevel="0" collapsed="false">
      <c r="A53" s="11" t="s">
        <v>292</v>
      </c>
      <c r="B53" s="11" t="s">
        <v>337</v>
      </c>
      <c r="C53" s="11" t="s">
        <v>346</v>
      </c>
      <c r="D53" s="11" t="s">
        <v>295</v>
      </c>
    </row>
    <row r="54" customFormat="false" ht="14.25" hidden="false" customHeight="false" outlineLevel="0" collapsed="false">
      <c r="A54" s="11" t="s">
        <v>292</v>
      </c>
      <c r="B54" s="11" t="s">
        <v>337</v>
      </c>
      <c r="C54" s="11" t="s">
        <v>347</v>
      </c>
      <c r="D54" s="11" t="s">
        <v>295</v>
      </c>
    </row>
    <row r="55" customFormat="false" ht="14.25" hidden="false" customHeight="false" outlineLevel="0" collapsed="false">
      <c r="A55" s="11" t="s">
        <v>292</v>
      </c>
      <c r="B55" s="11" t="s">
        <v>337</v>
      </c>
      <c r="C55" s="11" t="s">
        <v>348</v>
      </c>
      <c r="D55" s="11" t="s">
        <v>295</v>
      </c>
    </row>
    <row r="56" customFormat="false" ht="14.25" hidden="false" customHeight="false" outlineLevel="0" collapsed="false">
      <c r="A56" s="11" t="s">
        <v>292</v>
      </c>
      <c r="B56" s="11" t="s">
        <v>337</v>
      </c>
      <c r="C56" s="11" t="s">
        <v>349</v>
      </c>
      <c r="D56" s="11" t="s">
        <v>295</v>
      </c>
    </row>
    <row r="57" customFormat="false" ht="14.25" hidden="false" customHeight="false" outlineLevel="0" collapsed="false">
      <c r="A57" s="11" t="s">
        <v>292</v>
      </c>
      <c r="B57" s="11" t="s">
        <v>350</v>
      </c>
      <c r="C57" s="11" t="s">
        <v>351</v>
      </c>
      <c r="D57" s="11" t="s">
        <v>295</v>
      </c>
    </row>
    <row r="58" customFormat="false" ht="14.25" hidden="false" customHeight="false" outlineLevel="0" collapsed="false">
      <c r="A58" s="11" t="s">
        <v>292</v>
      </c>
      <c r="B58" s="11" t="s">
        <v>350</v>
      </c>
      <c r="C58" s="11" t="s">
        <v>352</v>
      </c>
      <c r="D58" s="11" t="s">
        <v>295</v>
      </c>
    </row>
    <row r="59" customFormat="false" ht="14.25" hidden="false" customHeight="false" outlineLevel="0" collapsed="false">
      <c r="A59" s="11" t="s">
        <v>292</v>
      </c>
      <c r="B59" s="11" t="s">
        <v>350</v>
      </c>
      <c r="C59" s="11" t="s">
        <v>353</v>
      </c>
      <c r="D59" s="11" t="s">
        <v>225</v>
      </c>
    </row>
    <row r="60" customFormat="false" ht="14.25" hidden="false" customHeight="false" outlineLevel="0" collapsed="false">
      <c r="A60" s="11" t="s">
        <v>292</v>
      </c>
      <c r="B60" s="11" t="s">
        <v>350</v>
      </c>
      <c r="C60" s="11" t="s">
        <v>354</v>
      </c>
      <c r="D60" s="11" t="s">
        <v>225</v>
      </c>
    </row>
    <row r="61" customFormat="false" ht="14.25" hidden="false" customHeight="false" outlineLevel="0" collapsed="false">
      <c r="A61" s="11" t="s">
        <v>292</v>
      </c>
      <c r="B61" s="11" t="s">
        <v>350</v>
      </c>
      <c r="C61" s="11" t="s">
        <v>355</v>
      </c>
      <c r="D61" s="11" t="s">
        <v>295</v>
      </c>
    </row>
    <row r="62" customFormat="false" ht="14.25" hidden="false" customHeight="false" outlineLevel="0" collapsed="false">
      <c r="A62" s="11" t="s">
        <v>292</v>
      </c>
      <c r="B62" s="11" t="s">
        <v>350</v>
      </c>
      <c r="C62" s="11" t="s">
        <v>356</v>
      </c>
      <c r="D62" s="11" t="s">
        <v>295</v>
      </c>
    </row>
    <row r="63" customFormat="false" ht="14.25" hidden="false" customHeight="false" outlineLevel="0" collapsed="false">
      <c r="A63" s="11" t="s">
        <v>292</v>
      </c>
      <c r="B63" s="11" t="s">
        <v>350</v>
      </c>
      <c r="C63" s="11" t="s">
        <v>357</v>
      </c>
      <c r="D63" s="11" t="s">
        <v>225</v>
      </c>
    </row>
    <row r="64" customFormat="false" ht="14.25" hidden="false" customHeight="false" outlineLevel="0" collapsed="false">
      <c r="A64" s="11" t="s">
        <v>292</v>
      </c>
      <c r="B64" s="11" t="s">
        <v>350</v>
      </c>
      <c r="C64" s="11" t="s">
        <v>358</v>
      </c>
      <c r="D64" s="11" t="s">
        <v>295</v>
      </c>
    </row>
    <row r="65" customFormat="false" ht="14.25" hidden="false" customHeight="false" outlineLevel="0" collapsed="false">
      <c r="A65" s="11" t="s">
        <v>292</v>
      </c>
      <c r="B65" s="11" t="s">
        <v>350</v>
      </c>
      <c r="C65" s="11" t="s">
        <v>359</v>
      </c>
      <c r="D65" s="11" t="s">
        <v>295</v>
      </c>
    </row>
    <row r="66" customFormat="false" ht="14.25" hidden="false" customHeight="false" outlineLevel="0" collapsed="false">
      <c r="A66" s="11" t="s">
        <v>292</v>
      </c>
      <c r="B66" s="11" t="s">
        <v>350</v>
      </c>
      <c r="C66" s="11" t="s">
        <v>360</v>
      </c>
      <c r="D66" s="11" t="s">
        <v>295</v>
      </c>
    </row>
    <row r="67" customFormat="false" ht="14.25" hidden="false" customHeight="false" outlineLevel="0" collapsed="false">
      <c r="A67" s="11" t="s">
        <v>292</v>
      </c>
      <c r="B67" s="11" t="s">
        <v>350</v>
      </c>
      <c r="C67" s="11" t="s">
        <v>361</v>
      </c>
      <c r="D67" s="11" t="s">
        <v>225</v>
      </c>
    </row>
    <row r="68" customFormat="false" ht="14.25" hidden="false" customHeight="false" outlineLevel="0" collapsed="false">
      <c r="A68" s="11" t="s">
        <v>292</v>
      </c>
      <c r="B68" s="11" t="s">
        <v>350</v>
      </c>
      <c r="C68" s="11" t="s">
        <v>362</v>
      </c>
      <c r="D68" s="11" t="s">
        <v>225</v>
      </c>
    </row>
    <row r="69" customFormat="false" ht="14.25" hidden="false" customHeight="false" outlineLevel="0" collapsed="false">
      <c r="A69" s="11" t="s">
        <v>292</v>
      </c>
      <c r="B69" s="11" t="s">
        <v>363</v>
      </c>
      <c r="C69" s="11" t="s">
        <v>364</v>
      </c>
      <c r="D69" s="11" t="s">
        <v>295</v>
      </c>
    </row>
    <row r="70" customFormat="false" ht="14.25" hidden="false" customHeight="false" outlineLevel="0" collapsed="false">
      <c r="A70" s="11" t="s">
        <v>292</v>
      </c>
      <c r="B70" s="11" t="s">
        <v>363</v>
      </c>
      <c r="C70" s="11" t="s">
        <v>365</v>
      </c>
      <c r="D70" s="11" t="s">
        <v>295</v>
      </c>
    </row>
    <row r="71" customFormat="false" ht="14.25" hidden="false" customHeight="false" outlineLevel="0" collapsed="false">
      <c r="A71" s="11" t="s">
        <v>292</v>
      </c>
      <c r="B71" s="11" t="s">
        <v>363</v>
      </c>
      <c r="C71" s="11" t="s">
        <v>366</v>
      </c>
      <c r="D71" s="11" t="s">
        <v>295</v>
      </c>
    </row>
    <row r="72" customFormat="false" ht="14.25" hidden="false" customHeight="false" outlineLevel="0" collapsed="false">
      <c r="A72" s="11" t="s">
        <v>292</v>
      </c>
      <c r="B72" s="11" t="s">
        <v>363</v>
      </c>
      <c r="C72" s="11" t="s">
        <v>367</v>
      </c>
      <c r="D72" s="11" t="s">
        <v>295</v>
      </c>
    </row>
    <row r="73" customFormat="false" ht="14.25" hidden="false" customHeight="false" outlineLevel="0" collapsed="false">
      <c r="A73" s="11" t="s">
        <v>292</v>
      </c>
      <c r="B73" s="11" t="s">
        <v>363</v>
      </c>
      <c r="C73" s="11" t="s">
        <v>368</v>
      </c>
      <c r="D73" s="11" t="s">
        <v>295</v>
      </c>
    </row>
    <row r="74" customFormat="false" ht="14.25" hidden="false" customHeight="false" outlineLevel="0" collapsed="false">
      <c r="A74" s="11" t="s">
        <v>292</v>
      </c>
      <c r="B74" s="11" t="s">
        <v>363</v>
      </c>
      <c r="C74" s="11" t="s">
        <v>369</v>
      </c>
      <c r="D74" s="11" t="s">
        <v>295</v>
      </c>
    </row>
    <row r="75" customFormat="false" ht="14.25" hidden="false" customHeight="false" outlineLevel="0" collapsed="false">
      <c r="A75" s="11" t="s">
        <v>292</v>
      </c>
      <c r="B75" s="11" t="s">
        <v>363</v>
      </c>
      <c r="C75" s="11" t="s">
        <v>370</v>
      </c>
      <c r="D75" s="11" t="s">
        <v>295</v>
      </c>
    </row>
    <row r="76" customFormat="false" ht="14.25" hidden="false" customHeight="false" outlineLevel="0" collapsed="false">
      <c r="A76" s="11" t="s">
        <v>292</v>
      </c>
      <c r="B76" s="11" t="s">
        <v>363</v>
      </c>
      <c r="C76" s="11" t="s">
        <v>371</v>
      </c>
      <c r="D76" s="11" t="s">
        <v>295</v>
      </c>
    </row>
    <row r="77" customFormat="false" ht="14.25" hidden="false" customHeight="false" outlineLevel="0" collapsed="false">
      <c r="A77" s="11" t="s">
        <v>292</v>
      </c>
      <c r="B77" s="11" t="s">
        <v>363</v>
      </c>
      <c r="C77" s="11" t="s">
        <v>372</v>
      </c>
      <c r="D77" s="11" t="s">
        <v>295</v>
      </c>
    </row>
    <row r="78" customFormat="false" ht="14.25" hidden="false" customHeight="false" outlineLevel="0" collapsed="false">
      <c r="A78" s="11" t="s">
        <v>292</v>
      </c>
      <c r="B78" s="11" t="s">
        <v>363</v>
      </c>
      <c r="C78" s="11" t="s">
        <v>373</v>
      </c>
      <c r="D78" s="11" t="s">
        <v>295</v>
      </c>
    </row>
    <row r="79" customFormat="false" ht="14.25" hidden="false" customHeight="false" outlineLevel="0" collapsed="false">
      <c r="A79" s="11" t="s">
        <v>292</v>
      </c>
      <c r="B79" s="11" t="s">
        <v>374</v>
      </c>
      <c r="C79" s="11" t="s">
        <v>375</v>
      </c>
      <c r="D79" s="11" t="s">
        <v>225</v>
      </c>
    </row>
    <row r="80" customFormat="false" ht="14.25" hidden="false" customHeight="false" outlineLevel="0" collapsed="false">
      <c r="A80" s="11" t="s">
        <v>292</v>
      </c>
      <c r="B80" s="11" t="s">
        <v>374</v>
      </c>
      <c r="C80" s="11" t="s">
        <v>376</v>
      </c>
      <c r="D80" s="11" t="s">
        <v>225</v>
      </c>
    </row>
    <row r="81" customFormat="false" ht="14.25" hidden="false" customHeight="false" outlineLevel="0" collapsed="false">
      <c r="A81" s="11" t="s">
        <v>292</v>
      </c>
      <c r="B81" s="11" t="s">
        <v>374</v>
      </c>
      <c r="C81" s="11" t="s">
        <v>377</v>
      </c>
      <c r="D81" s="11" t="s">
        <v>225</v>
      </c>
    </row>
    <row r="82" customFormat="false" ht="14.25" hidden="false" customHeight="false" outlineLevel="0" collapsed="false">
      <c r="A82" s="11" t="s">
        <v>292</v>
      </c>
      <c r="B82" s="11" t="s">
        <v>374</v>
      </c>
      <c r="C82" s="11" t="s">
        <v>378</v>
      </c>
      <c r="D82" s="11" t="s">
        <v>225</v>
      </c>
    </row>
    <row r="83" customFormat="false" ht="14.25" hidden="false" customHeight="false" outlineLevel="0" collapsed="false">
      <c r="A83" s="11" t="s">
        <v>292</v>
      </c>
      <c r="B83" s="11" t="s">
        <v>374</v>
      </c>
      <c r="C83" s="11" t="s">
        <v>379</v>
      </c>
      <c r="D83" s="11" t="s">
        <v>225</v>
      </c>
    </row>
    <row r="84" customFormat="false" ht="14.25" hidden="false" customHeight="false" outlineLevel="0" collapsed="false">
      <c r="A84" s="11" t="s">
        <v>292</v>
      </c>
      <c r="B84" s="11" t="s">
        <v>374</v>
      </c>
      <c r="C84" s="11" t="s">
        <v>380</v>
      </c>
      <c r="D84" s="11" t="s">
        <v>225</v>
      </c>
    </row>
    <row r="85" customFormat="false" ht="14.25" hidden="false" customHeight="false" outlineLevel="0" collapsed="false">
      <c r="A85" s="11" t="s">
        <v>292</v>
      </c>
      <c r="B85" s="11" t="s">
        <v>374</v>
      </c>
      <c r="C85" s="11" t="s">
        <v>381</v>
      </c>
      <c r="D85" s="11" t="s">
        <v>225</v>
      </c>
    </row>
    <row r="86" customFormat="false" ht="14.25" hidden="false" customHeight="false" outlineLevel="0" collapsed="false">
      <c r="A86" s="11" t="s">
        <v>292</v>
      </c>
      <c r="B86" s="11" t="s">
        <v>374</v>
      </c>
      <c r="C86" s="11" t="s">
        <v>382</v>
      </c>
      <c r="D86" s="11" t="s">
        <v>295</v>
      </c>
    </row>
    <row r="87" customFormat="false" ht="14.25" hidden="false" customHeight="false" outlineLevel="0" collapsed="false">
      <c r="A87" s="11" t="s">
        <v>292</v>
      </c>
      <c r="B87" s="11" t="s">
        <v>383</v>
      </c>
      <c r="C87" s="11" t="s">
        <v>383</v>
      </c>
      <c r="D87" s="11" t="s">
        <v>295</v>
      </c>
    </row>
    <row r="88" customFormat="false" ht="14.25" hidden="false" customHeight="false" outlineLevel="0" collapsed="false">
      <c r="A88" s="11" t="s">
        <v>292</v>
      </c>
      <c r="B88" s="11" t="s">
        <v>383</v>
      </c>
      <c r="C88" s="11" t="s">
        <v>384</v>
      </c>
      <c r="D88" s="11" t="s">
        <v>295</v>
      </c>
    </row>
    <row r="89" customFormat="false" ht="14.25" hidden="false" customHeight="false" outlineLevel="0" collapsed="false">
      <c r="A89" s="11" t="s">
        <v>292</v>
      </c>
      <c r="B89" s="11" t="s">
        <v>383</v>
      </c>
      <c r="C89" s="11" t="s">
        <v>385</v>
      </c>
      <c r="D89" s="11" t="s">
        <v>295</v>
      </c>
    </row>
    <row r="90" customFormat="false" ht="14.25" hidden="false" customHeight="false" outlineLevel="0" collapsed="false">
      <c r="A90" s="11" t="s">
        <v>292</v>
      </c>
      <c r="B90" s="11" t="s">
        <v>383</v>
      </c>
      <c r="C90" s="11" t="s">
        <v>386</v>
      </c>
      <c r="D90" s="11" t="s">
        <v>295</v>
      </c>
    </row>
    <row r="91" customFormat="false" ht="14.25" hidden="false" customHeight="false" outlineLevel="0" collapsed="false">
      <c r="A91" s="11" t="s">
        <v>292</v>
      </c>
      <c r="B91" s="11" t="s">
        <v>383</v>
      </c>
      <c r="C91" s="11" t="s">
        <v>387</v>
      </c>
      <c r="D91" s="11" t="s">
        <v>295</v>
      </c>
    </row>
    <row r="92" customFormat="false" ht="14.25" hidden="false" customHeight="false" outlineLevel="0" collapsed="false">
      <c r="A92" s="11" t="s">
        <v>292</v>
      </c>
      <c r="B92" s="11" t="s">
        <v>388</v>
      </c>
      <c r="C92" s="11" t="s">
        <v>389</v>
      </c>
      <c r="D92" s="11" t="s">
        <v>295</v>
      </c>
    </row>
    <row r="93" customFormat="false" ht="14.25" hidden="false" customHeight="false" outlineLevel="0" collapsed="false">
      <c r="A93" s="11" t="s">
        <v>292</v>
      </c>
      <c r="B93" s="11" t="s">
        <v>388</v>
      </c>
      <c r="C93" s="11" t="s">
        <v>390</v>
      </c>
      <c r="D93" s="11" t="s">
        <v>295</v>
      </c>
    </row>
    <row r="94" customFormat="false" ht="14.25" hidden="false" customHeight="false" outlineLevel="0" collapsed="false">
      <c r="A94" s="11" t="s">
        <v>292</v>
      </c>
      <c r="B94" s="11" t="s">
        <v>388</v>
      </c>
      <c r="C94" s="11" t="s">
        <v>391</v>
      </c>
      <c r="D94" s="11" t="s">
        <v>295</v>
      </c>
    </row>
    <row r="95" customFormat="false" ht="14.25" hidden="false" customHeight="false" outlineLevel="0" collapsed="false">
      <c r="A95" s="11" t="s">
        <v>292</v>
      </c>
      <c r="B95" s="11" t="s">
        <v>388</v>
      </c>
      <c r="C95" s="11" t="s">
        <v>392</v>
      </c>
      <c r="D95" s="11" t="s">
        <v>295</v>
      </c>
    </row>
    <row r="96" customFormat="false" ht="14.25" hidden="false" customHeight="false" outlineLevel="0" collapsed="false">
      <c r="A96" s="11" t="s">
        <v>292</v>
      </c>
      <c r="B96" s="11" t="s">
        <v>388</v>
      </c>
      <c r="C96" s="11" t="s">
        <v>393</v>
      </c>
      <c r="D96" s="11" t="s">
        <v>295</v>
      </c>
    </row>
    <row r="97" customFormat="false" ht="14.25" hidden="false" customHeight="false" outlineLevel="0" collapsed="false">
      <c r="A97" s="11" t="s">
        <v>292</v>
      </c>
      <c r="B97" s="11" t="s">
        <v>388</v>
      </c>
      <c r="C97" s="11" t="s">
        <v>394</v>
      </c>
      <c r="D97" s="11" t="s">
        <v>295</v>
      </c>
    </row>
    <row r="98" customFormat="false" ht="14.25" hidden="false" customHeight="false" outlineLevel="0" collapsed="false">
      <c r="A98" s="11" t="s">
        <v>292</v>
      </c>
      <c r="B98" s="11" t="s">
        <v>388</v>
      </c>
      <c r="C98" s="11" t="s">
        <v>395</v>
      </c>
      <c r="D98" s="11" t="s">
        <v>295</v>
      </c>
    </row>
    <row r="99" customFormat="false" ht="14.25" hidden="false" customHeight="false" outlineLevel="0" collapsed="false">
      <c r="A99" s="11" t="s">
        <v>292</v>
      </c>
      <c r="B99" s="11" t="s">
        <v>388</v>
      </c>
      <c r="C99" s="11" t="s">
        <v>396</v>
      </c>
      <c r="D99" s="11" t="s">
        <v>295</v>
      </c>
    </row>
    <row r="100" customFormat="false" ht="14.25" hidden="false" customHeight="false" outlineLevel="0" collapsed="false">
      <c r="A100" s="11" t="s">
        <v>292</v>
      </c>
      <c r="B100" s="11" t="s">
        <v>388</v>
      </c>
      <c r="C100" s="11" t="s">
        <v>397</v>
      </c>
      <c r="D100" s="11" t="s">
        <v>295</v>
      </c>
    </row>
    <row r="101" customFormat="false" ht="14.25" hidden="false" customHeight="false" outlineLevel="0" collapsed="false">
      <c r="A101" s="11" t="s">
        <v>292</v>
      </c>
      <c r="B101" s="11" t="s">
        <v>388</v>
      </c>
      <c r="C101" s="11" t="s">
        <v>398</v>
      </c>
      <c r="D101" s="11" t="s">
        <v>295</v>
      </c>
    </row>
    <row r="102" customFormat="false" ht="14.25" hidden="false" customHeight="false" outlineLevel="0" collapsed="false">
      <c r="A102" s="11" t="s">
        <v>292</v>
      </c>
      <c r="B102" s="11" t="s">
        <v>388</v>
      </c>
      <c r="C102" s="11" t="s">
        <v>399</v>
      </c>
      <c r="D102" s="11" t="s">
        <v>295</v>
      </c>
    </row>
    <row r="103" customFormat="false" ht="14.25" hidden="false" customHeight="false" outlineLevel="0" collapsed="false">
      <c r="A103" s="11" t="s">
        <v>292</v>
      </c>
      <c r="B103" s="11" t="s">
        <v>388</v>
      </c>
      <c r="C103" s="11" t="s">
        <v>400</v>
      </c>
      <c r="D103" s="11" t="s">
        <v>295</v>
      </c>
    </row>
    <row r="104" customFormat="false" ht="14.25" hidden="false" customHeight="false" outlineLevel="0" collapsed="false">
      <c r="A104" s="11" t="s">
        <v>292</v>
      </c>
      <c r="B104" s="11" t="s">
        <v>388</v>
      </c>
      <c r="C104" s="11" t="s">
        <v>401</v>
      </c>
      <c r="D104" s="11" t="s">
        <v>295</v>
      </c>
    </row>
    <row r="105" customFormat="false" ht="14.25" hidden="false" customHeight="false" outlineLevel="0" collapsed="false">
      <c r="A105" s="11" t="s">
        <v>292</v>
      </c>
      <c r="B105" s="11" t="s">
        <v>388</v>
      </c>
      <c r="C105" s="11" t="s">
        <v>402</v>
      </c>
      <c r="D105" s="11" t="s">
        <v>295</v>
      </c>
    </row>
    <row r="106" customFormat="false" ht="14.25" hidden="false" customHeight="false" outlineLevel="0" collapsed="false">
      <c r="A106" s="11" t="s">
        <v>292</v>
      </c>
      <c r="B106" s="11" t="s">
        <v>388</v>
      </c>
      <c r="C106" s="11" t="s">
        <v>403</v>
      </c>
      <c r="D106" s="11" t="s">
        <v>295</v>
      </c>
    </row>
    <row r="107" customFormat="false" ht="14.25" hidden="false" customHeight="false" outlineLevel="0" collapsed="false">
      <c r="A107" s="11" t="s">
        <v>292</v>
      </c>
      <c r="B107" s="11" t="s">
        <v>388</v>
      </c>
      <c r="C107" s="11" t="s">
        <v>404</v>
      </c>
      <c r="D107" s="11" t="s">
        <v>295</v>
      </c>
    </row>
    <row r="108" customFormat="false" ht="14.25" hidden="false" customHeight="false" outlineLevel="0" collapsed="false">
      <c r="A108" s="11" t="s">
        <v>292</v>
      </c>
      <c r="B108" s="11" t="s">
        <v>388</v>
      </c>
      <c r="C108" s="11" t="s">
        <v>405</v>
      </c>
      <c r="D108" s="11" t="s">
        <v>295</v>
      </c>
    </row>
    <row r="109" customFormat="false" ht="14.25" hidden="false" customHeight="false" outlineLevel="0" collapsed="false">
      <c r="A109" s="11" t="s">
        <v>292</v>
      </c>
      <c r="B109" s="11" t="s">
        <v>388</v>
      </c>
      <c r="C109" s="11" t="s">
        <v>406</v>
      </c>
      <c r="D109" s="11" t="s">
        <v>295</v>
      </c>
    </row>
    <row r="110" customFormat="false" ht="14.25" hidden="false" customHeight="false" outlineLevel="0" collapsed="false">
      <c r="A110" s="11" t="s">
        <v>292</v>
      </c>
      <c r="B110" s="11" t="s">
        <v>407</v>
      </c>
      <c r="C110" s="11" t="s">
        <v>408</v>
      </c>
      <c r="D110" s="11" t="s">
        <v>295</v>
      </c>
    </row>
    <row r="111" customFormat="false" ht="14.25" hidden="false" customHeight="false" outlineLevel="0" collapsed="false">
      <c r="A111" s="11" t="s">
        <v>292</v>
      </c>
      <c r="B111" s="11" t="s">
        <v>407</v>
      </c>
      <c r="C111" s="11" t="s">
        <v>409</v>
      </c>
      <c r="D111" s="11" t="s">
        <v>295</v>
      </c>
    </row>
    <row r="112" customFormat="false" ht="14.25" hidden="false" customHeight="false" outlineLevel="0" collapsed="false">
      <c r="A112" s="11" t="s">
        <v>292</v>
      </c>
      <c r="B112" s="11" t="s">
        <v>407</v>
      </c>
      <c r="C112" s="11" t="s">
        <v>410</v>
      </c>
      <c r="D112" s="11" t="s">
        <v>295</v>
      </c>
    </row>
    <row r="113" customFormat="false" ht="14.25" hidden="false" customHeight="false" outlineLevel="0" collapsed="false">
      <c r="A113" s="11" t="s">
        <v>292</v>
      </c>
      <c r="B113" s="11" t="s">
        <v>407</v>
      </c>
      <c r="C113" s="11" t="s">
        <v>411</v>
      </c>
      <c r="D113" s="11" t="s">
        <v>295</v>
      </c>
    </row>
    <row r="114" customFormat="false" ht="14.25" hidden="false" customHeight="false" outlineLevel="0" collapsed="false">
      <c r="A114" s="11" t="s">
        <v>292</v>
      </c>
      <c r="B114" s="11" t="s">
        <v>407</v>
      </c>
      <c r="C114" s="11" t="s">
        <v>412</v>
      </c>
      <c r="D114" s="11" t="s">
        <v>225</v>
      </c>
    </row>
    <row r="115" customFormat="false" ht="14.25" hidden="false" customHeight="false" outlineLevel="0" collapsed="false">
      <c r="A115" s="11" t="s">
        <v>292</v>
      </c>
      <c r="B115" s="11" t="s">
        <v>407</v>
      </c>
      <c r="C115" s="11" t="s">
        <v>413</v>
      </c>
      <c r="D115" s="11" t="s">
        <v>295</v>
      </c>
    </row>
    <row r="116" customFormat="false" ht="14.25" hidden="false" customHeight="false" outlineLevel="0" collapsed="false">
      <c r="A116" s="11" t="s">
        <v>292</v>
      </c>
      <c r="B116" s="11" t="s">
        <v>407</v>
      </c>
      <c r="C116" s="11" t="s">
        <v>414</v>
      </c>
      <c r="D116" s="11" t="s">
        <v>295</v>
      </c>
    </row>
    <row r="117" customFormat="false" ht="14.25" hidden="false" customHeight="false" outlineLevel="0" collapsed="false">
      <c r="A117" s="11" t="s">
        <v>292</v>
      </c>
      <c r="B117" s="11" t="s">
        <v>407</v>
      </c>
      <c r="C117" s="11" t="s">
        <v>415</v>
      </c>
      <c r="D117" s="11" t="s">
        <v>295</v>
      </c>
    </row>
    <row r="118" customFormat="false" ht="14.25" hidden="false" customHeight="false" outlineLevel="0" collapsed="false">
      <c r="A118" s="11" t="s">
        <v>292</v>
      </c>
      <c r="B118" s="11" t="s">
        <v>407</v>
      </c>
      <c r="C118" s="11" t="s">
        <v>416</v>
      </c>
      <c r="D118" s="11" t="s">
        <v>295</v>
      </c>
    </row>
    <row r="119" customFormat="false" ht="14.25" hidden="false" customHeight="false" outlineLevel="0" collapsed="false">
      <c r="A119" s="11" t="s">
        <v>292</v>
      </c>
      <c r="B119" s="11" t="s">
        <v>407</v>
      </c>
      <c r="C119" s="11" t="s">
        <v>417</v>
      </c>
      <c r="D119" s="11" t="s">
        <v>295</v>
      </c>
    </row>
    <row r="120" customFormat="false" ht="14.25" hidden="false" customHeight="false" outlineLevel="0" collapsed="false">
      <c r="A120" s="11" t="s">
        <v>292</v>
      </c>
      <c r="B120" s="11" t="s">
        <v>407</v>
      </c>
      <c r="C120" s="11" t="s">
        <v>418</v>
      </c>
      <c r="D120" s="11" t="s">
        <v>295</v>
      </c>
    </row>
    <row r="121" customFormat="false" ht="14.25" hidden="false" customHeight="false" outlineLevel="0" collapsed="false">
      <c r="A121" s="11" t="s">
        <v>292</v>
      </c>
      <c r="B121" s="11" t="s">
        <v>407</v>
      </c>
      <c r="C121" s="11" t="s">
        <v>419</v>
      </c>
      <c r="D121" s="11" t="s">
        <v>295</v>
      </c>
    </row>
    <row r="122" customFormat="false" ht="14.25" hidden="false" customHeight="false" outlineLevel="0" collapsed="false">
      <c r="A122" s="11" t="s">
        <v>292</v>
      </c>
      <c r="B122" s="11" t="s">
        <v>407</v>
      </c>
      <c r="C122" s="11" t="s">
        <v>420</v>
      </c>
      <c r="D122" s="11" t="s">
        <v>295</v>
      </c>
    </row>
    <row r="123" customFormat="false" ht="14.25" hidden="false" customHeight="false" outlineLevel="0" collapsed="false">
      <c r="A123" s="11" t="s">
        <v>292</v>
      </c>
      <c r="B123" s="11" t="s">
        <v>28</v>
      </c>
      <c r="C123" s="11" t="s">
        <v>421</v>
      </c>
      <c r="D123" s="11" t="s">
        <v>295</v>
      </c>
    </row>
    <row r="124" customFormat="false" ht="14.25" hidden="false" customHeight="false" outlineLevel="0" collapsed="false">
      <c r="A124" s="11" t="s">
        <v>292</v>
      </c>
      <c r="B124" s="11" t="s">
        <v>28</v>
      </c>
      <c r="C124" s="11" t="s">
        <v>422</v>
      </c>
      <c r="D124" s="11" t="s">
        <v>295</v>
      </c>
    </row>
    <row r="125" customFormat="false" ht="14.25" hidden="false" customHeight="false" outlineLevel="0" collapsed="false">
      <c r="A125" s="11" t="s">
        <v>292</v>
      </c>
      <c r="B125" s="11" t="s">
        <v>28</v>
      </c>
      <c r="C125" s="11" t="s">
        <v>423</v>
      </c>
      <c r="D125" s="11" t="s">
        <v>295</v>
      </c>
    </row>
    <row r="126" customFormat="false" ht="14.25" hidden="false" customHeight="false" outlineLevel="0" collapsed="false">
      <c r="A126" s="11" t="s">
        <v>292</v>
      </c>
      <c r="B126" s="11" t="s">
        <v>28</v>
      </c>
      <c r="C126" s="11" t="s">
        <v>424</v>
      </c>
      <c r="D126" s="11" t="s">
        <v>295</v>
      </c>
    </row>
    <row r="127" customFormat="false" ht="14.25" hidden="false" customHeight="false" outlineLevel="0" collapsed="false">
      <c r="A127" s="11" t="s">
        <v>292</v>
      </c>
      <c r="B127" s="11" t="s">
        <v>28</v>
      </c>
      <c r="C127" s="11" t="s">
        <v>425</v>
      </c>
      <c r="D127" s="11" t="s">
        <v>295</v>
      </c>
    </row>
    <row r="128" customFormat="false" ht="14.25" hidden="false" customHeight="false" outlineLevel="0" collapsed="false">
      <c r="A128" s="11" t="s">
        <v>292</v>
      </c>
      <c r="B128" s="11" t="s">
        <v>28</v>
      </c>
      <c r="C128" s="11" t="s">
        <v>426</v>
      </c>
      <c r="D128" s="11" t="s">
        <v>295</v>
      </c>
    </row>
    <row r="129" customFormat="false" ht="14.25" hidden="false" customHeight="false" outlineLevel="0" collapsed="false">
      <c r="A129" s="11" t="s">
        <v>292</v>
      </c>
      <c r="B129" s="11" t="s">
        <v>28</v>
      </c>
      <c r="C129" s="11" t="s">
        <v>427</v>
      </c>
      <c r="D129" s="11" t="s">
        <v>295</v>
      </c>
    </row>
    <row r="130" customFormat="false" ht="14.25" hidden="false" customHeight="false" outlineLevel="0" collapsed="false">
      <c r="A130" s="11" t="s">
        <v>292</v>
      </c>
      <c r="B130" s="11" t="s">
        <v>28</v>
      </c>
      <c r="C130" s="11" t="s">
        <v>428</v>
      </c>
      <c r="D130" s="11" t="s">
        <v>295</v>
      </c>
    </row>
    <row r="131" customFormat="false" ht="14.25" hidden="false" customHeight="false" outlineLevel="0" collapsed="false">
      <c r="A131" s="11" t="s">
        <v>292</v>
      </c>
      <c r="B131" s="11" t="s">
        <v>28</v>
      </c>
      <c r="C131" s="11" t="s">
        <v>429</v>
      </c>
      <c r="D131" s="11" t="s">
        <v>295</v>
      </c>
    </row>
    <row r="132" customFormat="false" ht="14.25" hidden="false" customHeight="false" outlineLevel="0" collapsed="false">
      <c r="A132" s="11" t="s">
        <v>292</v>
      </c>
      <c r="B132" s="11" t="s">
        <v>28</v>
      </c>
      <c r="C132" s="11" t="s">
        <v>430</v>
      </c>
      <c r="D132" s="11" t="s">
        <v>295</v>
      </c>
    </row>
    <row r="133" customFormat="false" ht="14.25" hidden="false" customHeight="false" outlineLevel="0" collapsed="false">
      <c r="A133" s="11" t="s">
        <v>292</v>
      </c>
      <c r="B133" s="11" t="s">
        <v>28</v>
      </c>
      <c r="C133" s="11" t="s">
        <v>431</v>
      </c>
      <c r="D133" s="11" t="s">
        <v>295</v>
      </c>
    </row>
    <row r="134" customFormat="false" ht="14.25" hidden="false" customHeight="false" outlineLevel="0" collapsed="false">
      <c r="A134" s="11" t="s">
        <v>292</v>
      </c>
      <c r="B134" s="11" t="s">
        <v>28</v>
      </c>
      <c r="C134" s="11" t="s">
        <v>432</v>
      </c>
      <c r="D134" s="11" t="s">
        <v>295</v>
      </c>
    </row>
    <row r="135" customFormat="false" ht="14.25" hidden="false" customHeight="false" outlineLevel="0" collapsed="false">
      <c r="A135" s="11" t="s">
        <v>292</v>
      </c>
      <c r="B135" s="11" t="s">
        <v>28</v>
      </c>
      <c r="C135" s="11" t="s">
        <v>433</v>
      </c>
      <c r="D135" s="11" t="s">
        <v>295</v>
      </c>
    </row>
    <row r="136" customFormat="false" ht="14.25" hidden="false" customHeight="false" outlineLevel="0" collapsed="false">
      <c r="A136" s="11" t="s">
        <v>292</v>
      </c>
      <c r="B136" s="11" t="s">
        <v>28</v>
      </c>
      <c r="C136" s="11" t="s">
        <v>434</v>
      </c>
      <c r="D136" s="11" t="s">
        <v>225</v>
      </c>
    </row>
    <row r="137" customFormat="false" ht="14.25" hidden="false" customHeight="false" outlineLevel="0" collapsed="false">
      <c r="A137" s="22" t="s">
        <v>435</v>
      </c>
      <c r="B137" s="22" t="s">
        <v>436</v>
      </c>
      <c r="C137" s="22" t="s">
        <v>437</v>
      </c>
      <c r="D137" s="22" t="s">
        <v>273</v>
      </c>
    </row>
    <row r="138" customFormat="false" ht="14.25" hidden="false" customHeight="false" outlineLevel="0" collapsed="false">
      <c r="A138" s="22" t="s">
        <v>435</v>
      </c>
      <c r="B138" s="22" t="s">
        <v>436</v>
      </c>
      <c r="C138" s="22" t="s">
        <v>438</v>
      </c>
      <c r="D138" s="22" t="s">
        <v>273</v>
      </c>
    </row>
    <row r="139" customFormat="false" ht="14.25" hidden="false" customHeight="false" outlineLevel="0" collapsed="false">
      <c r="A139" s="22" t="s">
        <v>435</v>
      </c>
      <c r="B139" s="22" t="s">
        <v>436</v>
      </c>
      <c r="C139" s="22" t="s">
        <v>439</v>
      </c>
      <c r="D139" s="22" t="s">
        <v>273</v>
      </c>
    </row>
    <row r="140" customFormat="false" ht="14.25" hidden="false" customHeight="false" outlineLevel="0" collapsed="false">
      <c r="A140" s="22" t="s">
        <v>435</v>
      </c>
      <c r="B140" s="22" t="s">
        <v>436</v>
      </c>
      <c r="C140" s="22" t="s">
        <v>440</v>
      </c>
      <c r="D140" s="22" t="s">
        <v>273</v>
      </c>
    </row>
    <row r="141" customFormat="false" ht="14.25" hidden="false" customHeight="false" outlineLevel="0" collapsed="false">
      <c r="A141" s="22" t="s">
        <v>435</v>
      </c>
      <c r="B141" s="22" t="s">
        <v>436</v>
      </c>
      <c r="C141" s="22" t="s">
        <v>441</v>
      </c>
      <c r="D141" s="22" t="s">
        <v>273</v>
      </c>
    </row>
    <row r="142" customFormat="false" ht="14.25" hidden="false" customHeight="false" outlineLevel="0" collapsed="false">
      <c r="A142" s="22" t="s">
        <v>435</v>
      </c>
      <c r="B142" s="22" t="s">
        <v>436</v>
      </c>
      <c r="C142" s="22" t="s">
        <v>442</v>
      </c>
      <c r="D142" s="22" t="s">
        <v>273</v>
      </c>
    </row>
    <row r="143" customFormat="false" ht="14.25" hidden="false" customHeight="false" outlineLevel="0" collapsed="false">
      <c r="A143" s="22" t="s">
        <v>435</v>
      </c>
      <c r="B143" s="22" t="s">
        <v>436</v>
      </c>
      <c r="C143" s="22" t="s">
        <v>443</v>
      </c>
      <c r="D143" s="22" t="s">
        <v>273</v>
      </c>
    </row>
    <row r="144" customFormat="false" ht="14.25" hidden="false" customHeight="false" outlineLevel="0" collapsed="false">
      <c r="A144" s="22" t="s">
        <v>435</v>
      </c>
      <c r="B144" s="22" t="s">
        <v>436</v>
      </c>
      <c r="C144" s="22" t="s">
        <v>444</v>
      </c>
      <c r="D144" s="22" t="s">
        <v>273</v>
      </c>
    </row>
    <row r="145" customFormat="false" ht="14.25" hidden="false" customHeight="false" outlineLevel="0" collapsed="false">
      <c r="A145" s="22" t="s">
        <v>435</v>
      </c>
      <c r="B145" s="22" t="s">
        <v>436</v>
      </c>
      <c r="C145" s="22" t="s">
        <v>445</v>
      </c>
      <c r="D145" s="22" t="s">
        <v>273</v>
      </c>
    </row>
    <row r="146" customFormat="false" ht="14.25" hidden="false" customHeight="false" outlineLevel="0" collapsed="false">
      <c r="A146" s="22" t="s">
        <v>435</v>
      </c>
      <c r="B146" s="22" t="s">
        <v>436</v>
      </c>
      <c r="C146" s="22" t="s">
        <v>446</v>
      </c>
      <c r="D146" s="22" t="s">
        <v>273</v>
      </c>
    </row>
    <row r="147" customFormat="false" ht="14.25" hidden="false" customHeight="false" outlineLevel="0" collapsed="false">
      <c r="A147" s="22" t="s">
        <v>435</v>
      </c>
      <c r="B147" s="22" t="s">
        <v>436</v>
      </c>
      <c r="C147" s="22" t="s">
        <v>447</v>
      </c>
      <c r="D147" s="22" t="s">
        <v>273</v>
      </c>
    </row>
    <row r="148" customFormat="false" ht="14.25" hidden="false" customHeight="false" outlineLevel="0" collapsed="false">
      <c r="A148" s="22" t="s">
        <v>435</v>
      </c>
      <c r="B148" s="22" t="s">
        <v>436</v>
      </c>
      <c r="C148" s="22" t="s">
        <v>442</v>
      </c>
      <c r="D148" s="22" t="s">
        <v>273</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C24"/>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328125" defaultRowHeight="14.25" zeroHeight="false" outlineLevelRow="0" outlineLevelCol="0"/>
  <cols>
    <col collapsed="false" customWidth="true" hidden="false" outlineLevel="0" max="1" min="1" style="0" width="30"/>
    <col collapsed="false" customWidth="true" hidden="false" outlineLevel="0" max="3" min="2" style="0" width="60"/>
  </cols>
  <sheetData>
    <row r="1" customFormat="false" ht="18" hidden="false" customHeight="true" outlineLevel="0" collapsed="false">
      <c r="A1" s="7" t="s">
        <v>448</v>
      </c>
    </row>
    <row r="3" customFormat="false" ht="14.25" hidden="false" customHeight="false" outlineLevel="0" collapsed="false">
      <c r="A3" s="9" t="s">
        <v>449</v>
      </c>
      <c r="B3" s="9" t="s">
        <v>450</v>
      </c>
      <c r="C3" s="9" t="s">
        <v>83</v>
      </c>
    </row>
    <row r="4" customFormat="false" ht="14.25" hidden="false" customHeight="false" outlineLevel="0" collapsed="false">
      <c r="A4" s="11" t="s">
        <v>451</v>
      </c>
      <c r="B4" s="11" t="s">
        <v>452</v>
      </c>
      <c r="C4" s="11"/>
    </row>
    <row r="5" customFormat="false" ht="14.25" hidden="false" customHeight="false" outlineLevel="0" collapsed="false">
      <c r="A5" s="11" t="s">
        <v>453</v>
      </c>
      <c r="B5" s="11" t="s">
        <v>454</v>
      </c>
      <c r="C5" s="11" t="s">
        <v>455</v>
      </c>
    </row>
    <row r="6" customFormat="false" ht="24.75" hidden="false" customHeight="true" outlineLevel="0" collapsed="false">
      <c r="A6" s="11" t="s">
        <v>456</v>
      </c>
      <c r="B6" s="11" t="s">
        <v>457</v>
      </c>
      <c r="C6" s="11" t="s">
        <v>458</v>
      </c>
    </row>
    <row r="7" customFormat="false" ht="24.75" hidden="false" customHeight="true" outlineLevel="0" collapsed="false">
      <c r="A7" s="11" t="s">
        <v>459</v>
      </c>
      <c r="B7" s="11" t="s">
        <v>460</v>
      </c>
      <c r="C7" s="11" t="s">
        <v>461</v>
      </c>
    </row>
    <row r="8" customFormat="false" ht="14.25" hidden="false" customHeight="false" outlineLevel="0" collapsed="false">
      <c r="A8" s="11" t="s">
        <v>462</v>
      </c>
      <c r="B8" s="11" t="s">
        <v>463</v>
      </c>
      <c r="C8" s="11" t="s">
        <v>464</v>
      </c>
    </row>
    <row r="9" customFormat="false" ht="14.25" hidden="false" customHeight="false" outlineLevel="0" collapsed="false">
      <c r="A9" s="11" t="s">
        <v>465</v>
      </c>
      <c r="B9" s="11" t="s">
        <v>466</v>
      </c>
      <c r="C9" s="11" t="s">
        <v>467</v>
      </c>
    </row>
    <row r="10" customFormat="false" ht="24.75" hidden="false" customHeight="true" outlineLevel="0" collapsed="false">
      <c r="A10" s="11" t="s">
        <v>468</v>
      </c>
      <c r="B10" s="11" t="s">
        <v>469</v>
      </c>
      <c r="C10" s="11" t="s">
        <v>470</v>
      </c>
    </row>
    <row r="11" customFormat="false" ht="14.25" hidden="false" customHeight="false" outlineLevel="0" collapsed="false">
      <c r="A11" s="11" t="s">
        <v>471</v>
      </c>
      <c r="B11" s="11" t="s">
        <v>472</v>
      </c>
      <c r="C11" s="11" t="s">
        <v>473</v>
      </c>
    </row>
    <row r="12" customFormat="false" ht="14.25" hidden="false" customHeight="false" outlineLevel="0" collapsed="false">
      <c r="A12" s="11" t="s">
        <v>474</v>
      </c>
      <c r="B12" s="11" t="s">
        <v>475</v>
      </c>
      <c r="C12" s="11" t="s">
        <v>476</v>
      </c>
    </row>
    <row r="13" customFormat="false" ht="14.25" hidden="false" customHeight="false" outlineLevel="0" collapsed="false">
      <c r="A13" s="11" t="s">
        <v>477</v>
      </c>
      <c r="B13" s="11" t="s">
        <v>478</v>
      </c>
      <c r="C13" s="11" t="s">
        <v>479</v>
      </c>
    </row>
    <row r="14" customFormat="false" ht="14.25" hidden="false" customHeight="false" outlineLevel="0" collapsed="false">
      <c r="A14" s="11" t="s">
        <v>480</v>
      </c>
      <c r="B14" s="11" t="s">
        <v>481</v>
      </c>
      <c r="C14" s="11" t="s">
        <v>482</v>
      </c>
    </row>
    <row r="15" customFormat="false" ht="14.25" hidden="false" customHeight="false" outlineLevel="0" collapsed="false">
      <c r="A15" s="11" t="s">
        <v>483</v>
      </c>
      <c r="B15" s="11" t="s">
        <v>484</v>
      </c>
      <c r="C15" s="11"/>
    </row>
    <row r="16" customFormat="false" ht="14.25" hidden="false" customHeight="false" outlineLevel="0" collapsed="false">
      <c r="A16" s="11" t="s">
        <v>485</v>
      </c>
      <c r="B16" s="11" t="s">
        <v>486</v>
      </c>
      <c r="C16" s="11" t="s">
        <v>487</v>
      </c>
    </row>
    <row r="17" customFormat="false" ht="14.25" hidden="false" customHeight="false" outlineLevel="0" collapsed="false">
      <c r="A17" s="11" t="s">
        <v>488</v>
      </c>
      <c r="B17" s="11" t="s">
        <v>486</v>
      </c>
      <c r="C17" s="11" t="s">
        <v>489</v>
      </c>
    </row>
    <row r="18" customFormat="false" ht="14.25" hidden="false" customHeight="false" outlineLevel="0" collapsed="false">
      <c r="A18" s="11" t="s">
        <v>490</v>
      </c>
      <c r="B18" s="11" t="s">
        <v>491</v>
      </c>
      <c r="C18" s="11" t="s">
        <v>492</v>
      </c>
    </row>
    <row r="19" customFormat="false" ht="24.75" hidden="false" customHeight="true" outlineLevel="0" collapsed="false">
      <c r="A19" s="11" t="s">
        <v>493</v>
      </c>
      <c r="B19" s="11" t="s">
        <v>494</v>
      </c>
      <c r="C19" s="11" t="s">
        <v>495</v>
      </c>
    </row>
    <row r="20" customFormat="false" ht="24.75" hidden="false" customHeight="true" outlineLevel="0" collapsed="false">
      <c r="A20" s="11" t="s">
        <v>496</v>
      </c>
      <c r="B20" s="11" t="s">
        <v>497</v>
      </c>
      <c r="C20" s="11" t="s">
        <v>498</v>
      </c>
    </row>
    <row r="21" customFormat="false" ht="14.25" hidden="false" customHeight="false" outlineLevel="0" collapsed="false">
      <c r="A21" s="11" t="s">
        <v>499</v>
      </c>
      <c r="B21" s="11" t="s">
        <v>500</v>
      </c>
      <c r="C21" s="11" t="s">
        <v>501</v>
      </c>
    </row>
    <row r="22" customFormat="false" ht="14.25" hidden="false" customHeight="false" outlineLevel="0" collapsed="false">
      <c r="A22" s="11" t="s">
        <v>502</v>
      </c>
      <c r="B22" s="11" t="s">
        <v>503</v>
      </c>
      <c r="C22" s="11" t="s">
        <v>504</v>
      </c>
    </row>
    <row r="23" customFormat="false" ht="14.25" hidden="false" customHeight="false" outlineLevel="0" collapsed="false">
      <c r="A23" s="11" t="s">
        <v>505</v>
      </c>
      <c r="B23" s="11" t="s">
        <v>506</v>
      </c>
      <c r="C23" s="11" t="s">
        <v>507</v>
      </c>
    </row>
    <row r="24" customFormat="false" ht="24.75" hidden="false" customHeight="true" outlineLevel="0" collapsed="false">
      <c r="A24" s="11" t="s">
        <v>508</v>
      </c>
      <c r="B24" s="11" t="s">
        <v>509</v>
      </c>
      <c r="C24" s="11" t="s">
        <v>510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2026-10-19T14:50:56Z</dcterms:created>
  <dc:creator>openpyxl</dc:creator>
  <dc:description/>
  <dc:language>en-US</dc:language>
  <cp:lastModifiedBy>WIN11PRO23H2GPT</cp:lastModifiedBy>
  <dcterms:modified xsi:type="dcterms:W3CDTF">2026-10-19T21:26:22Z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